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ual Extremes 1965-2025" sheetId="1" state="visible" r:id="rId3"/>
    <sheet name="Harrison Lake 1933-2025" sheetId="2" state="visible" r:id="rId4"/>
    <sheet name="Historic Peaks 1876-" sheetId="3" state="visible" r:id="rId5"/>
    <sheet name="Sources &amp; Notes"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3" authorId="0">
      <text>
        <r>
          <rPr>
            <sz val="10"/>
            <rFont val="Arial"/>
            <family val="2"/>
          </rPr>
          <t xml:space="preserve">Source: ECCC Water Office vertical datum page for 08MH024: "To convert to GEODETIC SURVEY OF CANADA DATUM, add 0.043 m." (CGVD2013 offset is +0.137 m.)</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F3" authorId="0">
      <text>
        <r>
          <rPr>
            <sz val="10"/>
            <rFont val="Arial"/>
            <family val="2"/>
          </rPr>
          <t xml:space="preserve">Source: ECCC Water Office vertical datum page for 08MG012: add 0.148 m to convert GSC to CGVD2013:epoch2010 (±0.009 m).</t>
        </r>
      </text>
    </comment>
  </commentList>
</comments>
</file>

<file path=xl/sharedStrings.xml><?xml version="1.0" encoding="utf-8"?>
<sst xmlns="http://schemas.openxmlformats.org/spreadsheetml/2006/main" count="659" uniqueCount="547">
  <si>
    <t xml:space="preserve">Fraser River at Mission (WSC 08MH024) — annual maximum and minimum water level and discharge</t>
  </si>
  <si>
    <t xml:space="preserve">Source: Water Survey of Canada / ECCC Water Office (HYDAT), Annual Extremes &amp; Peak reports, retrieved 2026-10-05. Levels published in station ASSUMED datum.</t>
  </si>
  <si>
    <t xml:space="preserve">Assumed datum → Geodetic Survey of Canada (GSC) datum, add (m):</t>
  </si>
  <si>
    <t xml:space="preserve">Year</t>
  </si>
  <si>
    <t xml:space="preserve">Max daily level date</t>
  </si>
  <si>
    <t xml:space="preserve">Max daily level (m, assumed)</t>
  </si>
  <si>
    <t xml:space="preserve">Max daily level (m GSC)</t>
  </si>
  <si>
    <t xml:space="preserve">Max instantaneous level date/time (PST)</t>
  </si>
  <si>
    <t xml:space="preserve">Max instantaneous level (m, assumed)</t>
  </si>
  <si>
    <t xml:space="preserve">Min daily level date</t>
  </si>
  <si>
    <t xml:space="preserve">Min daily level (m, assumed)</t>
  </si>
  <si>
    <t xml:space="preserve">Max daily discharge date</t>
  </si>
  <si>
    <t xml:space="preserve">Max daily discharge (m³/s)</t>
  </si>
  <si>
    <t xml:space="preserve">Max instantaneous discharge date/time (PST)</t>
  </si>
  <si>
    <t xml:space="preserve">Max instantaneous discharge (m³/s)</t>
  </si>
  <si>
    <t xml:space="preserve">Min daily discharge date</t>
  </si>
  <si>
    <t xml:space="preserve">Min daily discharge (m³/s)</t>
  </si>
  <si>
    <t xml:space="preserve">Flags</t>
  </si>
  <si>
    <t xml:space="preserve">1965-06-07</t>
  </si>
  <si>
    <t xml:space="preserve">1966-06-22</t>
  </si>
  <si>
    <t xml:space="preserve">1966-03-08</t>
  </si>
  <si>
    <t xml:space="preserve">1967-06-22</t>
  </si>
  <si>
    <t xml:space="preserve">1967-06-22 09:45</t>
  </si>
  <si>
    <t xml:space="preserve">1967-03-16</t>
  </si>
  <si>
    <t xml:space="preserve">1968-07-10</t>
  </si>
  <si>
    <t xml:space="preserve">1968-01-13</t>
  </si>
  <si>
    <t xml:space="preserve">1969-06-10</t>
  </si>
  <si>
    <t xml:space="preserve">1969-06-09 10:40</t>
  </si>
  <si>
    <t xml:space="preserve">1969-03-24</t>
  </si>
  <si>
    <t xml:space="preserve">1969-06-13 09:30</t>
  </si>
  <si>
    <t xml:space="preserve">1969-03-15</t>
  </si>
  <si>
    <t xml:space="preserve">1970-06-09</t>
  </si>
  <si>
    <t xml:space="preserve">1970-06-09 10:48</t>
  </si>
  <si>
    <t xml:space="preserve">1970-11-22</t>
  </si>
  <si>
    <t xml:space="preserve">1970-12-01</t>
  </si>
  <si>
    <t xml:space="preserve">1971-06-11</t>
  </si>
  <si>
    <t xml:space="preserve">1971-06-12 11:21</t>
  </si>
  <si>
    <t xml:space="preserve">1971-01-03</t>
  </si>
  <si>
    <t xml:space="preserve">1971-06-08</t>
  </si>
  <si>
    <t xml:space="preserve">1971-01-07</t>
  </si>
  <si>
    <t xml:space="preserve">1972-06-17</t>
  </si>
  <si>
    <t xml:space="preserve">1972-06-17 12:00</t>
  </si>
  <si>
    <t xml:space="preserve">1972-12-13</t>
  </si>
  <si>
    <t xml:space="preserve">1972-12-10</t>
  </si>
  <si>
    <t xml:space="preserve">min flow E</t>
  </si>
  <si>
    <t xml:space="preserve">1973-06-29</t>
  </si>
  <si>
    <t xml:space="preserve">1973-06-29 07:36</t>
  </si>
  <si>
    <t xml:space="preserve">1973-03-28</t>
  </si>
  <si>
    <t xml:space="preserve">1973-02-16</t>
  </si>
  <si>
    <t xml:space="preserve">1974-06-21</t>
  </si>
  <si>
    <t xml:space="preserve">1974-01-02</t>
  </si>
  <si>
    <t xml:space="preserve">1974-06-21 08:24</t>
  </si>
  <si>
    <t xml:space="preserve">1974-01-07</t>
  </si>
  <si>
    <t xml:space="preserve">1975-07-12</t>
  </si>
  <si>
    <t xml:space="preserve">1975-04-06</t>
  </si>
  <si>
    <t xml:space="preserve">1975-07-12 00:19</t>
  </si>
  <si>
    <t xml:space="preserve">1975-01-17</t>
  </si>
  <si>
    <t xml:space="preserve">1976-06-23</t>
  </si>
  <si>
    <t xml:space="preserve">1976-06-24 07:59</t>
  </si>
  <si>
    <t xml:space="preserve">1976-03-06</t>
  </si>
  <si>
    <t xml:space="preserve">1977-06-26</t>
  </si>
  <si>
    <t xml:space="preserve">1977-03-30</t>
  </si>
  <si>
    <t xml:space="preserve">1977-06-26 03:21</t>
  </si>
  <si>
    <t xml:space="preserve">1977-11-25</t>
  </si>
  <si>
    <t xml:space="preserve">1978-06-10</t>
  </si>
  <si>
    <t xml:space="preserve">1978-03-16</t>
  </si>
  <si>
    <t xml:space="preserve">1978-06-09 23:40</t>
  </si>
  <si>
    <t xml:space="preserve">1978-02-05</t>
  </si>
  <si>
    <t xml:space="preserve">1979-06-10</t>
  </si>
  <si>
    <t xml:space="preserve">1979-06-10 09:39</t>
  </si>
  <si>
    <t xml:space="preserve">1979-06-10 09:38</t>
  </si>
  <si>
    <t xml:space="preserve">1979-02-02</t>
  </si>
  <si>
    <t xml:space="preserve">min flow B</t>
  </si>
  <si>
    <t xml:space="preserve">1980-12-27</t>
  </si>
  <si>
    <t xml:space="preserve">1980-12-27 15:01</t>
  </si>
  <si>
    <t xml:space="preserve">1980-02-15</t>
  </si>
  <si>
    <t xml:space="preserve">1981-05-31</t>
  </si>
  <si>
    <t xml:space="preserve">1981-06-06 13:16</t>
  </si>
  <si>
    <t xml:space="preserve">1981-12-31</t>
  </si>
  <si>
    <t xml:space="preserve">1982-06-22</t>
  </si>
  <si>
    <t xml:space="preserve">1982-06-22 09:06</t>
  </si>
  <si>
    <t xml:space="preserve">1982-06-21</t>
  </si>
  <si>
    <t xml:space="preserve">1982-01-07</t>
  </si>
  <si>
    <t xml:space="preserve">1983-06-04</t>
  </si>
  <si>
    <t xml:space="preserve">1983-06-04 06:01</t>
  </si>
  <si>
    <t xml:space="preserve">1983-10-18</t>
  </si>
  <si>
    <t xml:space="preserve">1983-01-01</t>
  </si>
  <si>
    <t xml:space="preserve">1984-07-02</t>
  </si>
  <si>
    <t xml:space="preserve">1984-07-02 16:00</t>
  </si>
  <si>
    <t xml:space="preserve">1984-12-31</t>
  </si>
  <si>
    <t xml:space="preserve">1984-07-03</t>
  </si>
  <si>
    <t xml:space="preserve">1985-06-08</t>
  </si>
  <si>
    <t xml:space="preserve">1985-06-08 12:32</t>
  </si>
  <si>
    <t xml:space="preserve">1985-02-27</t>
  </si>
  <si>
    <t xml:space="preserve">1985-05-29</t>
  </si>
  <si>
    <t xml:space="preserve">1985-05-28 20:15</t>
  </si>
  <si>
    <t xml:space="preserve">1985-12-01</t>
  </si>
  <si>
    <t xml:space="preserve">1986-06-05</t>
  </si>
  <si>
    <t xml:space="preserve">1986-06-06 07:49</t>
  </si>
  <si>
    <t xml:space="preserve">1986-12-09</t>
  </si>
  <si>
    <t xml:space="preserve">1986-06-04</t>
  </si>
  <si>
    <t xml:space="preserve">1986-06-04 12:45</t>
  </si>
  <si>
    <t xml:space="preserve">1986-01-05</t>
  </si>
  <si>
    <t xml:space="preserve">1987-06-17</t>
  </si>
  <si>
    <t xml:space="preserve">1987-06-17 11:52</t>
  </si>
  <si>
    <t xml:space="preserve">1987-12-26</t>
  </si>
  <si>
    <t xml:space="preserve">1987-06-16 18:30</t>
  </si>
  <si>
    <t xml:space="preserve">1987-12-31</t>
  </si>
  <si>
    <t xml:space="preserve">1988-05-17</t>
  </si>
  <si>
    <t xml:space="preserve">1988-05-18 09:08</t>
  </si>
  <si>
    <t xml:space="preserve">1988-02-05</t>
  </si>
  <si>
    <t xml:space="preserve">1988-05-18</t>
  </si>
  <si>
    <t xml:space="preserve">1988-05-18 12:00</t>
  </si>
  <si>
    <t xml:space="preserve">1988-01-09</t>
  </si>
  <si>
    <t xml:space="preserve">min level E; min flow E</t>
  </si>
  <si>
    <t xml:space="preserve">1989-06-19</t>
  </si>
  <si>
    <t xml:space="preserve">1989-06-19 07:06</t>
  </si>
  <si>
    <t xml:space="preserve">1989-01-28</t>
  </si>
  <si>
    <t xml:space="preserve">1989-06-09</t>
  </si>
  <si>
    <t xml:space="preserve">1989-06-09 19:00</t>
  </si>
  <si>
    <t xml:space="preserve">1989-03-03</t>
  </si>
  <si>
    <t xml:space="preserve">1990-12-24</t>
  </si>
  <si>
    <t xml:space="preserve">1990-06-16</t>
  </si>
  <si>
    <t xml:space="preserve">1990-06-17 03:05</t>
  </si>
  <si>
    <t xml:space="preserve">1990-12-30</t>
  </si>
  <si>
    <t xml:space="preserve">1991-07-04</t>
  </si>
  <si>
    <t xml:space="preserve">1991-07-04 04:02</t>
  </si>
  <si>
    <t xml:space="preserve">1991-11-01</t>
  </si>
  <si>
    <t xml:space="preserve">1991-01-09</t>
  </si>
  <si>
    <t xml:space="preserve">1992-06-18</t>
  </si>
  <si>
    <t xml:space="preserve">1992-06-17 23:49</t>
  </si>
  <si>
    <t xml:space="preserve">1992-12-31</t>
  </si>
  <si>
    <t xml:space="preserve">1992-06-17 16:30</t>
  </si>
  <si>
    <t xml:space="preserve">No data published (gauge gap 1993–1996)</t>
  </si>
  <si>
    <t xml:space="preserve">1997-06-05</t>
  </si>
  <si>
    <t xml:space="preserve">1997-06-05 07:15</t>
  </si>
  <si>
    <t xml:space="preserve">1998-06-01</t>
  </si>
  <si>
    <t xml:space="preserve">1998-06-01 02:00</t>
  </si>
  <si>
    <t xml:space="preserve">1999-06-23</t>
  </si>
  <si>
    <t xml:space="preserve">1999-06-23 05:00</t>
  </si>
  <si>
    <t xml:space="preserve">1999-03-11</t>
  </si>
  <si>
    <t xml:space="preserve">2000-06-15</t>
  </si>
  <si>
    <t xml:space="preserve">2000-06-15 05:31</t>
  </si>
  <si>
    <t xml:space="preserve">2000-12-18</t>
  </si>
  <si>
    <t xml:space="preserve">2001-07-24</t>
  </si>
  <si>
    <t xml:space="preserve">2001-07-23 23:16</t>
  </si>
  <si>
    <t xml:space="preserve">2001-02-27</t>
  </si>
  <si>
    <t xml:space="preserve">2002-06-22</t>
  </si>
  <si>
    <t xml:space="preserve">2002-06-22 05:01</t>
  </si>
  <si>
    <t xml:space="preserve">2002-03-20</t>
  </si>
  <si>
    <t xml:space="preserve">2002-06-19</t>
  </si>
  <si>
    <t xml:space="preserve">2003-06-14</t>
  </si>
  <si>
    <t xml:space="preserve">2003-06-14 06:41</t>
  </si>
  <si>
    <t xml:space="preserve">2003-03-08</t>
  </si>
  <si>
    <t xml:space="preserve">2004-06-11</t>
  </si>
  <si>
    <t xml:space="preserve">2004-06-11 04:01</t>
  </si>
  <si>
    <t xml:space="preserve">2004-02-10</t>
  </si>
  <si>
    <t xml:space="preserve">2005-05-21</t>
  </si>
  <si>
    <t xml:space="preserve">2005-05-21 06:06</t>
  </si>
  <si>
    <t xml:space="preserve">2005-12-09</t>
  </si>
  <si>
    <t xml:space="preserve">2006-05-27</t>
  </si>
  <si>
    <t xml:space="preserve">2006-05-27 06:46</t>
  </si>
  <si>
    <t xml:space="preserve">2006-02-17</t>
  </si>
  <si>
    <t xml:space="preserve">2007-06-11</t>
  </si>
  <si>
    <t xml:space="preserve">2007-06-11 05:01</t>
  </si>
  <si>
    <t xml:space="preserve">2007-02-04</t>
  </si>
  <si>
    <t xml:space="preserve">2007-06-10</t>
  </si>
  <si>
    <t xml:space="preserve">2008-05-26</t>
  </si>
  <si>
    <t xml:space="preserve">2008-05-26 12:01</t>
  </si>
  <si>
    <t xml:space="preserve">2008-04-01</t>
  </si>
  <si>
    <t xml:space="preserve">2009-06-09</t>
  </si>
  <si>
    <t xml:space="preserve">2009-06-09 22:46</t>
  </si>
  <si>
    <t xml:space="preserve">2009-04-05</t>
  </si>
  <si>
    <t xml:space="preserve">2010-06-28</t>
  </si>
  <si>
    <t xml:space="preserve">2010-06-28 22:50</t>
  </si>
  <si>
    <t xml:space="preserve">2011-07-04</t>
  </si>
  <si>
    <t xml:space="preserve">2011-07-04 10:30</t>
  </si>
  <si>
    <t xml:space="preserve">2011-02-09</t>
  </si>
  <si>
    <t xml:space="preserve">2012-06-23</t>
  </si>
  <si>
    <t xml:space="preserve">2012-06-23 10:20</t>
  </si>
  <si>
    <t xml:space="preserve">2012-03-02</t>
  </si>
  <si>
    <t xml:space="preserve">2013-05-17</t>
  </si>
  <si>
    <t xml:space="preserve">2013-05-17 13:00</t>
  </si>
  <si>
    <t xml:space="preserve">2013-12-09</t>
  </si>
  <si>
    <t xml:space="preserve">2014-05-29</t>
  </si>
  <si>
    <t xml:space="preserve">2014-05-29 08:35</t>
  </si>
  <si>
    <t xml:space="preserve">2014-02-05</t>
  </si>
  <si>
    <t xml:space="preserve">2015-06-03</t>
  </si>
  <si>
    <t xml:space="preserve">2015-06-03 07:50</t>
  </si>
  <si>
    <t xml:space="preserve">2015-12-31</t>
  </si>
  <si>
    <t xml:space="preserve">2016-05-09</t>
  </si>
  <si>
    <t xml:space="preserve">2016-05-08 22:40</t>
  </si>
  <si>
    <t xml:space="preserve">2016-01-01</t>
  </si>
  <si>
    <t xml:space="preserve">2017-06-04</t>
  </si>
  <si>
    <t xml:space="preserve">2017-06-04 05:25</t>
  </si>
  <si>
    <t xml:space="preserve">2017-06-03</t>
  </si>
  <si>
    <t xml:space="preserve">2018-05-20</t>
  </si>
  <si>
    <t xml:space="preserve">2018-05-20 11:35</t>
  </si>
  <si>
    <t xml:space="preserve">2019-06-04</t>
  </si>
  <si>
    <t xml:space="preserve">2019-06-04 07:10</t>
  </si>
  <si>
    <t xml:space="preserve">2020-06-28</t>
  </si>
  <si>
    <t xml:space="preserve">2020-06-29 03:20</t>
  </si>
  <si>
    <t xml:space="preserve">2020-03-01</t>
  </si>
  <si>
    <t xml:space="preserve">2021-06-07</t>
  </si>
  <si>
    <t xml:space="preserve">2021-11-15 22:20</t>
  </si>
  <si>
    <t xml:space="preserve">2022-07-04</t>
  </si>
  <si>
    <t xml:space="preserve">2022-07-04 10:15</t>
  </si>
  <si>
    <t xml:space="preserve">2023-05-21</t>
  </si>
  <si>
    <t xml:space="preserve">2023-05-21 07:55</t>
  </si>
  <si>
    <t xml:space="preserve">2023-05-20</t>
  </si>
  <si>
    <t xml:space="preserve">2024-07-02</t>
  </si>
  <si>
    <t xml:space="preserve">2024-07-02 04:25</t>
  </si>
  <si>
    <t xml:space="preserve">2024-01-16</t>
  </si>
  <si>
    <t xml:space="preserve">2025-06-05</t>
  </si>
  <si>
    <t xml:space="preserve">2025-06-05 04:15</t>
  </si>
  <si>
    <t xml:space="preserve">2025-02-15</t>
  </si>
  <si>
    <t xml:space="preserve">Blank cells = no value published by WSC for that year (seasonal operation, missing data or partial record). Flags: E = estimated, B = backwater/ice conditions (WSC symbols).</t>
  </si>
  <si>
    <t xml:space="preserve">Discharge records after 1999 are seasonal (freshet months only), so post-2000 annual minimum flows are not published.</t>
  </si>
  <si>
    <t xml:space="preserve">Harrison Lake near Harrison Hot Springs (WSC 08MG012) — annual maximum and minimum lake level</t>
  </si>
  <si>
    <t xml:space="preserve">Source: Water Survey of Canada / ECCC Water Office (HYDAT), Annual Extremes &amp; Peak reports, retrieved 2026-10-05. Level only (no discharge measured at this station). Published in GSC datum.</t>
  </si>
  <si>
    <t xml:space="preserve">GSC → CGVD2013 datum, add (m):</t>
  </si>
  <si>
    <t xml:space="preserve">Max instantaneous level (m GSC)</t>
  </si>
  <si>
    <t xml:space="preserve">Min daily level (m GSC)</t>
  </si>
  <si>
    <t xml:space="preserve">Min instantaneous level date/time (PST)</t>
  </si>
  <si>
    <t xml:space="preserve">Min instantaneous level (m GSC)</t>
  </si>
  <si>
    <t xml:space="preserve">Annual range, daily (m)</t>
  </si>
  <si>
    <t xml:space="preserve">1933-07-18</t>
  </si>
  <si>
    <t xml:space="preserve">1934-06-14</t>
  </si>
  <si>
    <t xml:space="preserve">1934-10-06</t>
  </si>
  <si>
    <t xml:space="preserve">1935-06-13</t>
  </si>
  <si>
    <t xml:space="preserve">1935-04-12</t>
  </si>
  <si>
    <t xml:space="preserve">1936-06-05</t>
  </si>
  <si>
    <t xml:space="preserve">1936-02-19</t>
  </si>
  <si>
    <t xml:space="preserve">1937-06-12</t>
  </si>
  <si>
    <t xml:space="preserve">1937-02-08</t>
  </si>
  <si>
    <t xml:space="preserve">1938-06-26</t>
  </si>
  <si>
    <t xml:space="preserve">1938-02-19</t>
  </si>
  <si>
    <t xml:space="preserve">1939-12-10</t>
  </si>
  <si>
    <t xml:space="preserve">1939-03-16</t>
  </si>
  <si>
    <t xml:space="preserve">1940-10-23</t>
  </si>
  <si>
    <t xml:space="preserve">1940-01-26</t>
  </si>
  <si>
    <t xml:space="preserve">1941-12-04</t>
  </si>
  <si>
    <t xml:space="preserve">1941-03-16</t>
  </si>
  <si>
    <t xml:space="preserve">1942-06-10</t>
  </si>
  <si>
    <t xml:space="preserve">1942-02-28</t>
  </si>
  <si>
    <t xml:space="preserve">1943-07-05</t>
  </si>
  <si>
    <t xml:space="preserve">1943-03-19</t>
  </si>
  <si>
    <t xml:space="preserve">1944-06-14</t>
  </si>
  <si>
    <t xml:space="preserve">1944-03-07</t>
  </si>
  <si>
    <t xml:space="preserve">1945-06-02</t>
  </si>
  <si>
    <t xml:space="preserve">1945-03-07</t>
  </si>
  <si>
    <t xml:space="preserve">1946-05-28</t>
  </si>
  <si>
    <t xml:space="preserve">1946-11-22</t>
  </si>
  <si>
    <t xml:space="preserve">1947-06-03</t>
  </si>
  <si>
    <t xml:space="preserve">1947-01-15</t>
  </si>
  <si>
    <t xml:space="preserve">1948-06-11</t>
  </si>
  <si>
    <t xml:space="preserve">1948-02-13</t>
  </si>
  <si>
    <t xml:space="preserve">1949-05-17</t>
  </si>
  <si>
    <t xml:space="preserve">1949-02-06</t>
  </si>
  <si>
    <t xml:space="preserve">1950-06-22</t>
  </si>
  <si>
    <t xml:space="preserve">1950-02-04</t>
  </si>
  <si>
    <t xml:space="preserve">1951-07-04</t>
  </si>
  <si>
    <t xml:space="preserve">1951-12-31</t>
  </si>
  <si>
    <t xml:space="preserve">1952-06-07</t>
  </si>
  <si>
    <t xml:space="preserve">1952-06-07 12:30</t>
  </si>
  <si>
    <t xml:space="preserve">1952-01-19</t>
  </si>
  <si>
    <t xml:space="preserve">min A</t>
  </si>
  <si>
    <t xml:space="preserve">1953-07-16</t>
  </si>
  <si>
    <t xml:space="preserve">1953-07-17 10:15</t>
  </si>
  <si>
    <t xml:space="preserve">1953-03-10</t>
  </si>
  <si>
    <t xml:space="preserve">1954-07-11</t>
  </si>
  <si>
    <t xml:space="preserve">1954-07-11 15:30</t>
  </si>
  <si>
    <t xml:space="preserve">1954-02-03</t>
  </si>
  <si>
    <t xml:space="preserve">1955-07-18</t>
  </si>
  <si>
    <t xml:space="preserve">1955-07-18 11:00</t>
  </si>
  <si>
    <t xml:space="preserve">1955-03-28</t>
  </si>
  <si>
    <t xml:space="preserve">1956-06-11</t>
  </si>
  <si>
    <t xml:space="preserve">1956-06-11 09:30</t>
  </si>
  <si>
    <t xml:space="preserve">1957-06-06</t>
  </si>
  <si>
    <t xml:space="preserve">1957-06-06 10:50</t>
  </si>
  <si>
    <t xml:space="preserve">1958-05-30</t>
  </si>
  <si>
    <t xml:space="preserve">1958-05-30 07:15</t>
  </si>
  <si>
    <t xml:space="preserve">1958-04-08</t>
  </si>
  <si>
    <t xml:space="preserve">1959-06-26</t>
  </si>
  <si>
    <t xml:space="preserve">1959-06-26 06:00</t>
  </si>
  <si>
    <t xml:space="preserve">1959-02-25</t>
  </si>
  <si>
    <t xml:space="preserve">1960-07-08</t>
  </si>
  <si>
    <t xml:space="preserve">1960-07-09 02:15</t>
  </si>
  <si>
    <t xml:space="preserve">1961-06-08</t>
  </si>
  <si>
    <t xml:space="preserve">1961-12-20</t>
  </si>
  <si>
    <t xml:space="preserve">1962-06-27</t>
  </si>
  <si>
    <t xml:space="preserve">1962-03-23</t>
  </si>
  <si>
    <t xml:space="preserve">1963-06-20</t>
  </si>
  <si>
    <t xml:space="preserve">1963-06-20 14:00</t>
  </si>
  <si>
    <t xml:space="preserve">1963-02-02</t>
  </si>
  <si>
    <t xml:space="preserve">1964-06-16</t>
  </si>
  <si>
    <t xml:space="preserve">1964-06-16 13:45</t>
  </si>
  <si>
    <t xml:space="preserve">1965-06-12</t>
  </si>
  <si>
    <t xml:space="preserve">1965-06-12 08:00</t>
  </si>
  <si>
    <t xml:space="preserve">1966-06-20</t>
  </si>
  <si>
    <t xml:space="preserve">1966-06-20 20:20</t>
  </si>
  <si>
    <t xml:space="preserve">1966-03-06</t>
  </si>
  <si>
    <t xml:space="preserve">1967-06-24</t>
  </si>
  <si>
    <t xml:space="preserve">1967-06-24 17:15</t>
  </si>
  <si>
    <t xml:space="preserve">1967-03-15</t>
  </si>
  <si>
    <t xml:space="preserve">1968-07-13</t>
  </si>
  <si>
    <t xml:space="preserve">1968-07-11 12:30</t>
  </si>
  <si>
    <t xml:space="preserve">1969-06-14</t>
  </si>
  <si>
    <t xml:space="preserve">1969-06-14 22:28</t>
  </si>
  <si>
    <t xml:space="preserve">1970-06-10 02:55</t>
  </si>
  <si>
    <t xml:space="preserve">1970-11-07</t>
  </si>
  <si>
    <t xml:space="preserve">1971-06-09</t>
  </si>
  <si>
    <t xml:space="preserve">1971-06-09 08:57</t>
  </si>
  <si>
    <t xml:space="preserve">1971-01-13</t>
  </si>
  <si>
    <t xml:space="preserve">1972-06-12</t>
  </si>
  <si>
    <t xml:space="preserve">1972-06-12 08:24</t>
  </si>
  <si>
    <t xml:space="preserve">1972-12-15</t>
  </si>
  <si>
    <t xml:space="preserve">1973-06-30</t>
  </si>
  <si>
    <t xml:space="preserve">1973-06-30 15:30</t>
  </si>
  <si>
    <t xml:space="preserve">1973-02-24</t>
  </si>
  <si>
    <t xml:space="preserve">1974-06-23</t>
  </si>
  <si>
    <t xml:space="preserve">1974-06-23 10:11</t>
  </si>
  <si>
    <t xml:space="preserve">1974-11-05</t>
  </si>
  <si>
    <t xml:space="preserve">1975-07-13</t>
  </si>
  <si>
    <t xml:space="preserve">1975-07-13 04:16</t>
  </si>
  <si>
    <t xml:space="preserve">1975-02-23</t>
  </si>
  <si>
    <t xml:space="preserve">1976-07-10</t>
  </si>
  <si>
    <t xml:space="preserve">1976-07-10 15:49</t>
  </si>
  <si>
    <t xml:space="preserve">1976-03-17</t>
  </si>
  <si>
    <t xml:space="preserve">1977-06-24</t>
  </si>
  <si>
    <t xml:space="preserve">1977-06-24 23:33</t>
  </si>
  <si>
    <t xml:space="preserve">1977-10-22</t>
  </si>
  <si>
    <t xml:space="preserve">1978-06-10 10:08</t>
  </si>
  <si>
    <t xml:space="preserve">1978-01-19</t>
  </si>
  <si>
    <t xml:space="preserve">1979-06-11 00:50</t>
  </si>
  <si>
    <t xml:space="preserve">1979-02-03</t>
  </si>
  <si>
    <t xml:space="preserve">1980-12-28</t>
  </si>
  <si>
    <t xml:space="preserve">1980-01-31</t>
  </si>
  <si>
    <t xml:space="preserve">max A; min E</t>
  </si>
  <si>
    <t xml:space="preserve">1981-03-28</t>
  </si>
  <si>
    <t xml:space="preserve">1982-06-23</t>
  </si>
  <si>
    <t xml:space="preserve">1982-06-23 09:36</t>
  </si>
  <si>
    <t xml:space="preserve">1982-04-10</t>
  </si>
  <si>
    <t xml:space="preserve">1983-06-03</t>
  </si>
  <si>
    <t xml:space="preserve">1983-06-04 04:34</t>
  </si>
  <si>
    <t xml:space="preserve">1984-06-30</t>
  </si>
  <si>
    <t xml:space="preserve">1984-06-30 12:02</t>
  </si>
  <si>
    <t xml:space="preserve">1984-01-01</t>
  </si>
  <si>
    <t xml:space="preserve">1985-06-05</t>
  </si>
  <si>
    <t xml:space="preserve">1985-06-05 15:43</t>
  </si>
  <si>
    <t xml:space="preserve">1985-12-31</t>
  </si>
  <si>
    <t xml:space="preserve">1986-06-06 08:09</t>
  </si>
  <si>
    <t xml:space="preserve">1986-01-01</t>
  </si>
  <si>
    <t xml:space="preserve">1987-07-06</t>
  </si>
  <si>
    <t xml:space="preserve">1987-07-06 03:10</t>
  </si>
  <si>
    <t xml:space="preserve">1987-10-30</t>
  </si>
  <si>
    <t xml:space="preserve">1988-06-24</t>
  </si>
  <si>
    <t xml:space="preserve">1988-06-24 04:32</t>
  </si>
  <si>
    <t xml:space="preserve">1988-01-12</t>
  </si>
  <si>
    <t xml:space="preserve">1989-06-15</t>
  </si>
  <si>
    <t xml:space="preserve">1989-06-15 21:29</t>
  </si>
  <si>
    <t xml:space="preserve">1989-03-05</t>
  </si>
  <si>
    <t xml:space="preserve">1990-11-14</t>
  </si>
  <si>
    <t xml:space="preserve">1990-11-14 09:27</t>
  </si>
  <si>
    <t xml:space="preserve">1990-03-05</t>
  </si>
  <si>
    <t xml:space="preserve">1991-09-02</t>
  </si>
  <si>
    <t xml:space="preserve">1991-09-02 00:55</t>
  </si>
  <si>
    <t xml:space="preserve">1991-03-31</t>
  </si>
  <si>
    <t xml:space="preserve">1992-06-30</t>
  </si>
  <si>
    <t xml:space="preserve">1993-05-22</t>
  </si>
  <si>
    <t xml:space="preserve">1993-05-22 09:14</t>
  </si>
  <si>
    <t xml:space="preserve">1993-01-19</t>
  </si>
  <si>
    <t xml:space="preserve">1993-01-20 13:47</t>
  </si>
  <si>
    <t xml:space="preserve">1994-07-03</t>
  </si>
  <si>
    <t xml:space="preserve">1994-07-03 23:40</t>
  </si>
  <si>
    <t xml:space="preserve">1994-11-28</t>
  </si>
  <si>
    <t xml:space="preserve">1994-11-28 21:28</t>
  </si>
  <si>
    <t xml:space="preserve">1995-11-30</t>
  </si>
  <si>
    <t xml:space="preserve">1995-11-30 18:44</t>
  </si>
  <si>
    <t xml:space="preserve">1995-01-28</t>
  </si>
  <si>
    <t xml:space="preserve">1995-01-28 17:46</t>
  </si>
  <si>
    <t xml:space="preserve">1996-07-17</t>
  </si>
  <si>
    <t xml:space="preserve">1996-07-17 21:38</t>
  </si>
  <si>
    <t xml:space="preserve">1997-06-06</t>
  </si>
  <si>
    <t xml:space="preserve">1997-06-06 08:00</t>
  </si>
  <si>
    <t xml:space="preserve">1997-03-16</t>
  </si>
  <si>
    <t xml:space="preserve">1998-06-11</t>
  </si>
  <si>
    <t xml:space="preserve">1998-06-13 02:00</t>
  </si>
  <si>
    <t xml:space="preserve">1998-11-11</t>
  </si>
  <si>
    <t xml:space="preserve">1999-07-17</t>
  </si>
  <si>
    <t xml:space="preserve">1999-07-17 01:00</t>
  </si>
  <si>
    <t xml:space="preserve">1999-10-25</t>
  </si>
  <si>
    <t xml:space="preserve">1999-10-28 14:37</t>
  </si>
  <si>
    <t xml:space="preserve">2000-07-01</t>
  </si>
  <si>
    <t xml:space="preserve">2000-07-01 01:00</t>
  </si>
  <si>
    <t xml:space="preserve">2000-03-01</t>
  </si>
  <si>
    <t xml:space="preserve">2000-03-14 05:56</t>
  </si>
  <si>
    <t xml:space="preserve">2001-08-25</t>
  </si>
  <si>
    <t xml:space="preserve">2001-08-25 02:00</t>
  </si>
  <si>
    <t xml:space="preserve">2001-03-08</t>
  </si>
  <si>
    <t xml:space="preserve">2001-03-08 11:00</t>
  </si>
  <si>
    <t xml:space="preserve">2002-06-30</t>
  </si>
  <si>
    <t xml:space="preserve">2002-06-29 22:00</t>
  </si>
  <si>
    <t xml:space="preserve">2002-11-06</t>
  </si>
  <si>
    <t xml:space="preserve">2002-11-06 06:00</t>
  </si>
  <si>
    <t xml:space="preserve">2003-10-21</t>
  </si>
  <si>
    <t xml:space="preserve">2003-10-21 20:00</t>
  </si>
  <si>
    <t xml:space="preserve">2003-03-10</t>
  </si>
  <si>
    <t xml:space="preserve">2003-03-10 14:20</t>
  </si>
  <si>
    <t xml:space="preserve">2004-06-28</t>
  </si>
  <si>
    <t xml:space="preserve">2004-06-28 04:38</t>
  </si>
  <si>
    <t xml:space="preserve">2004-03-05</t>
  </si>
  <si>
    <t xml:space="preserve">2004-01-09 12:15</t>
  </si>
  <si>
    <t xml:space="preserve">2005-01-25</t>
  </si>
  <si>
    <t xml:space="preserve">2005-01-24 16:38</t>
  </si>
  <si>
    <t xml:space="preserve">2005-12-20</t>
  </si>
  <si>
    <t xml:space="preserve">2005-12-20 04:00</t>
  </si>
  <si>
    <t xml:space="preserve">2006-06-15</t>
  </si>
  <si>
    <t xml:space="preserve">2006-06-15 12:45</t>
  </si>
  <si>
    <t xml:space="preserve">2006-10-25</t>
  </si>
  <si>
    <t xml:space="preserve">2006-10-24 08:00</t>
  </si>
  <si>
    <t xml:space="preserve">2007-06-08</t>
  </si>
  <si>
    <t xml:space="preserve">2007-06-08 09:15</t>
  </si>
  <si>
    <t xml:space="preserve">2007-02-07</t>
  </si>
  <si>
    <t xml:space="preserve">2007-02-15 18:00</t>
  </si>
  <si>
    <t xml:space="preserve">2008-05-30</t>
  </si>
  <si>
    <t xml:space="preserve">2008-05-30 05:19</t>
  </si>
  <si>
    <t xml:space="preserve">2008-04-12</t>
  </si>
  <si>
    <t xml:space="preserve">2009-06-10</t>
  </si>
  <si>
    <t xml:space="preserve">2009-06-16 11:09</t>
  </si>
  <si>
    <t xml:space="preserve">2009-02-24</t>
  </si>
  <si>
    <t xml:space="preserve">2009-02-24 20:39</t>
  </si>
  <si>
    <t xml:space="preserve">2010-07-13</t>
  </si>
  <si>
    <t xml:space="preserve">2010-07-14 00:59</t>
  </si>
  <si>
    <t xml:space="preserve">2010-12-07</t>
  </si>
  <si>
    <t xml:space="preserve">2010-12-08 10:19</t>
  </si>
  <si>
    <t xml:space="preserve">2011-06-11</t>
  </si>
  <si>
    <t xml:space="preserve">2011-06-12 07:44</t>
  </si>
  <si>
    <t xml:space="preserve">2011-03-09</t>
  </si>
  <si>
    <t xml:space="preserve">2011-12-25 15:39</t>
  </si>
  <si>
    <t xml:space="preserve">2012-06-25</t>
  </si>
  <si>
    <t xml:space="preserve">2012-06-25 08:08</t>
  </si>
  <si>
    <t xml:space="preserve">2012-03-03</t>
  </si>
  <si>
    <t xml:space="preserve">2012-03-02 23:14</t>
  </si>
  <si>
    <t xml:space="preserve">2013-05-15</t>
  </si>
  <si>
    <t xml:space="preserve">2013-05-15 03:03</t>
  </si>
  <si>
    <t xml:space="preserve">2013-12-23</t>
  </si>
  <si>
    <t xml:space="preserve">2013-12-23 03:48</t>
  </si>
  <si>
    <t xml:space="preserve">2014-05-29 13:08</t>
  </si>
  <si>
    <t xml:space="preserve">2014-02-10</t>
  </si>
  <si>
    <t xml:space="preserve">2014-02-11 02:08</t>
  </si>
  <si>
    <t xml:space="preserve">2015-06-04 12:43</t>
  </si>
  <si>
    <t xml:space="preserve">2015-03-11</t>
  </si>
  <si>
    <t xml:space="preserve">2015-03-12 04:48</t>
  </si>
  <si>
    <t xml:space="preserve">2016-11-14</t>
  </si>
  <si>
    <t xml:space="preserve">2016-11-14 02:28</t>
  </si>
  <si>
    <t xml:space="preserve">2016-12-31</t>
  </si>
  <si>
    <t xml:space="preserve">2016-12-30 22:18</t>
  </si>
  <si>
    <t xml:space="preserve">2017-06-04 05:08</t>
  </si>
  <si>
    <t xml:space="preserve">2018-05-21</t>
  </si>
  <si>
    <t xml:space="preserve">2018-05-21 11:48</t>
  </si>
  <si>
    <t xml:space="preserve">2018-03-26</t>
  </si>
  <si>
    <t xml:space="preserve">2021-07-01</t>
  </si>
  <si>
    <t xml:space="preserve">2021-07-02 03:55</t>
  </si>
  <si>
    <t xml:space="preserve">2021-02-21</t>
  </si>
  <si>
    <t xml:space="preserve">2021-02-21 16:40</t>
  </si>
  <si>
    <t xml:space="preserve">2022-07-05</t>
  </si>
  <si>
    <t xml:space="preserve">2022-07-05 17:50</t>
  </si>
  <si>
    <t xml:space="preserve">2023-05-22</t>
  </si>
  <si>
    <t xml:space="preserve">2023-05-22 11:30</t>
  </si>
  <si>
    <t xml:space="preserve">2023-04-06</t>
  </si>
  <si>
    <t xml:space="preserve">2023-03-30 15:25</t>
  </si>
  <si>
    <t xml:space="preserve">2024-02-03</t>
  </si>
  <si>
    <t xml:space="preserve">2024-02-02 20:35</t>
  </si>
  <si>
    <t xml:space="preserve">2024-04-24</t>
  </si>
  <si>
    <t xml:space="preserve">2024-04-20 20:35</t>
  </si>
  <si>
    <t xml:space="preserve">2025-06-12</t>
  </si>
  <si>
    <t xml:space="preserve">2025-06-12 11:05</t>
  </si>
  <si>
    <t xml:space="preserve">2025-02-19</t>
  </si>
  <si>
    <t xml:space="preserve">2025-02-19 22:45</t>
  </si>
  <si>
    <t xml:space="preserve">Blank = no value published that year. Flags: A = partial day, E = estimated (WSC symbols). 1933–1951 read manually; recorder from 1952. Instantaneous peaks start in 1952.</t>
  </si>
  <si>
    <t xml:space="preserve">Ten highest daily lake levels, 1933–2025 (live ranking)</t>
  </si>
  <si>
    <t xml:space="preserve">Rank</t>
  </si>
  <si>
    <t xml:space="preserve">Date</t>
  </si>
  <si>
    <t xml:space="preserve">Largest recorded floods at Mission — full period of record (1876 onward)</t>
  </si>
  <si>
    <t xml:space="preserve">Pre-1969 water levels are NOT in the online HYDAT database; they come from published WSC values summarised in NHC (2008), Table 2.3.</t>
  </si>
  <si>
    <t xml:space="preserve">Harrison Lake (08MG012) levels are already in GSC datum, so they compare directly with Mission. Lake record begins July 1933.</t>
  </si>
  <si>
    <t xml:space="preserve">Rank (NHC 2008)</t>
  </si>
  <si>
    <t xml:space="preserve">Peak water level (m GSC)</t>
  </si>
  <si>
    <t xml:space="preserve">Max daily discharge at Mission (m³/s)</t>
  </si>
  <si>
    <t xml:space="preserve">Estimated peak at Hope (m³/s)</t>
  </si>
  <si>
    <t xml:space="preserve">Harrison Lake peak daily level (m GSC)</t>
  </si>
  <si>
    <t xml:space="preserve">Source / notes</t>
  </si>
  <si>
    <t xml:space="preserve">Jun 05</t>
  </si>
  <si>
    <t xml:space="preserve">NHC 2008 Table 2.3. Flood of record. Hope flow estimated from 1934 high-water-mark survey.</t>
  </si>
  <si>
    <t xml:space="preserve">May 31</t>
  </si>
  <si>
    <t xml:space="preserve">NHC 2008 Table 2.3; Hope peak recorded 31 May 1948.</t>
  </si>
  <si>
    <t xml:space="preserve">Jun 20</t>
  </si>
  <si>
    <t xml:space="preserve">NHC 2008 Table 2.3</t>
  </si>
  <si>
    <t xml:space="preserve">Jun 21</t>
  </si>
  <si>
    <t xml:space="preserve">Jun 17</t>
  </si>
  <si>
    <t xml:space="preserve">Level from Water Office (formula: assumed + offset). Uses instantaneous peak (7.108 m assumed) + offset = 7.15 m GSC, matching NHC.</t>
  </si>
  <si>
    <t xml:space="preserve">Jun 22</t>
  </si>
  <si>
    <t xml:space="preserve">NHC 2008 Table 2.3 — first year of record</t>
  </si>
  <si>
    <t xml:space="preserve">NHC 2008 Table 2.3; flow from Water Office</t>
  </si>
  <si>
    <t xml:space="preserve">Recent comparison (Water Office, daily max converted to GSC):</t>
  </si>
  <si>
    <t xml:space="preserve">Jun 07</t>
  </si>
  <si>
    <t xml:space="preserve">2021 June freshet: Mission peak Jun 7, Harrison Lake peak Jul 1 (annual daily maximums).</t>
  </si>
  <si>
    <t xml:space="preserve">2021</t>
  </si>
  <si>
    <t xml:space="preserve">Nov 15</t>
  </si>
  <si>
    <t xml:space="preserve">Nov 2021 atmospheric river. Mission daily level 4.666 m assumed (Nov 15) and daily flow 8,970 m³/s (Nov 15); instantaneous peak 5.539 m assumed (5.58 m GSC) and 10,800 m³/s at 22:20 PST Nov 15. Harrison Lake daily level 12.042 m GSC on Nov 16. Source: WSC daily tables, 2021.</t>
  </si>
  <si>
    <t xml:space="preserve">Ten highest Harrison Lake levels, 1933–2025 (WSC 08MG012, daily maximum)</t>
  </si>
  <si>
    <t xml:space="preserve">Harrison Lake level (m GSC)</t>
  </si>
  <si>
    <t xml:space="preserve">Mission peak same year (m GSC)</t>
  </si>
  <si>
    <t xml:space="preserve">Notes</t>
  </si>
  <si>
    <t xml:space="preserve">—</t>
  </si>
  <si>
    <t xml:space="preserve">2021-11-16</t>
  </si>
  <si>
    <t xml:space="preserve">Nov 2021 atmospheric river (not a top-ten level; shown for comparison). Harrison Lake daily level Nov 16; Mission daily level Nov 15 (peak hourly 5.58 m GSC). Source: WSC daily tables, 2021.</t>
  </si>
  <si>
    <t xml:space="preserve">Mission column uses the NHC top-ten value where the year is listed above, otherwise the Water Office daily maximum (converted to GSC); "-" = no Mission level published (1969 onward only).</t>
  </si>
  <si>
    <t xml:space="preserve">Item</t>
  </si>
  <si>
    <t xml:space="preserve">Detail</t>
  </si>
  <si>
    <t xml:space="preserve">Station</t>
  </si>
  <si>
    <t xml:space="preserve">FRASER RIVER AT MISSION, WSC station 08MH024, British Columbia</t>
  </si>
  <si>
    <t xml:space="preserve">Primary source</t>
  </si>
  <si>
    <t xml:space="preserve">ECCC Water Office historical reports (HYDAT): Annual Extremes (daily) and Peak (instantaneous) for Level and Flow — https://wateroffice.ec.gc.ca/report/historical_e.html?stn=08MH024</t>
  </si>
  <si>
    <t xml:space="preserve">Data availability</t>
  </si>
  <si>
    <t xml:space="preserve">https://wateroffice.ec.gc.ca/report/data_availability_e.html?type=historical&amp;station=08MH024 — digital daily flow 1965–1992 continuous, 2000+ seasonal; daily level 1969–1992 and 1997+.</t>
  </si>
  <si>
    <t xml:space="preserve">Datum</t>
  </si>
  <si>
    <t xml:space="preserve">https://wateroffice.ec.gc.ca/report/datum_e.html?stn=08MH024 — published in assumed datum; +0.043 m to GSC; +0.137 m to CGVD2013.</t>
  </si>
  <si>
    <t xml:space="preserve">Data collection history</t>
  </si>
  <si>
    <t xml:space="preserve">1876–1899 level, seasonal, manual · 1900–1935 level, seasonal, manual · 1936–1964 level, continuous recorder · 1965–1996 flow · 1997–98 flow &amp; level · 1999 level · 2000–2026 flow &amp; level.</t>
  </si>
  <si>
    <t xml:space="preserve">Why the drop-down starts in 1965</t>
  </si>
  <si>
    <t xml:space="preserve">The 1876–1968 level readings were never loaded into HYDAT for this station; only the discharge record (from 1965) and level record (from 1969) are online. Pre-1965 discharge was never measured at Mission.</t>
  </si>
  <si>
    <t xml:space="preserve">Historic peaks source</t>
  </si>
  <si>
    <t xml:space="preserve">Northwest Hydraulic Consultants (M. Mannerström), "Comprehensive Review of Fraser River at Hope — Flood Hydrology and Flows", for BC Ministry of Environment, Oct 2008, Table 2.3 — https://www.env.gov.bc.ca/wsd/public_safety/flood/pdfs_word/review_fraser_flood_flows_hope.pdf</t>
  </si>
  <si>
    <t xml:space="preserve">Getting 1876–1968 annual values</t>
  </si>
  <si>
    <t xml:space="preserve">Request the archived Mission gauge annual maxima from Water Survey of Canada (BC/Yukon office) or BC River Forecast Centre; also printed WSC "Surface Water Data, British Columbia" and "Historical Streamflow Summary" volumes (library holdings).</t>
  </si>
  <si>
    <t xml:space="preserve">Licence</t>
  </si>
  <si>
    <t xml:space="preserve">Open Government Licence – Canada; credit Environment and Climate Change Canada.</t>
  </si>
  <si>
    <t xml:space="preserve">Station 2</t>
  </si>
  <si>
    <t xml:space="preserve">HARRISON LAKE NEAR HARRISON HOT SPRINGS, WSC station 08MG012 — https://wateroffice.ec.gc.ca/report/historical_e.html?stn=08MG012</t>
  </si>
  <si>
    <t xml:space="preserve">08MG012 record</t>
  </si>
  <si>
    <t xml:space="preserve">Lake level only, continuous since July 1933 (manual readings 1933–1951, recorder 1952 on). No discharge is measured at this station. The full record is in HYDAT, so the online table is complete back to the first year.</t>
  </si>
  <si>
    <t xml:space="preserve">08MG012 datum</t>
  </si>
  <si>
    <t xml:space="preserve">Published in GSC datum (directly comparable with Mission levels converted to GSC). Add 0.148 m for CGVD2013 — https://wateroffice.ec.gc.ca/report/datum_e.html?stn=08MG012</t>
  </si>
  <si>
    <t xml:space="preserve">08MG012 gaps</t>
  </si>
  <si>
    <t xml:space="preserve">No annual maximum published for 1981, 2019 and 2020; minimums missing in several years (incomplete winter record).</t>
  </si>
</sst>
</file>

<file path=xl/styles.xml><?xml version="1.0" encoding="utf-8"?>
<styleSheet xmlns="http://schemas.openxmlformats.org/spreadsheetml/2006/main">
  <numFmts count="5">
    <numFmt numFmtId="164" formatCode="General"/>
    <numFmt numFmtId="165" formatCode="0.000"/>
    <numFmt numFmtId="166" formatCode="#,##0"/>
    <numFmt numFmtId="167" formatCode="0.00"/>
    <numFmt numFmtId="168" formatCode="General"/>
  </numFmts>
  <fonts count="1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sz val="10"/>
      <name val="Arial"/>
      <family val="0"/>
      <charset val="1"/>
    </font>
    <font>
      <b val="true"/>
      <sz val="11"/>
      <color rgb="FF0000FF"/>
      <name val="Arial"/>
      <family val="0"/>
      <charset val="1"/>
    </font>
    <font>
      <b val="true"/>
      <sz val="11"/>
      <color rgb="FFFFFFFF"/>
      <name val="Arial"/>
      <family val="0"/>
      <charset val="1"/>
    </font>
    <font>
      <i val="true"/>
      <sz val="10"/>
      <color rgb="FF808080"/>
      <name val="Arial"/>
      <family val="0"/>
      <charset val="1"/>
    </font>
    <font>
      <sz val="10"/>
      <name val="Arial"/>
      <family val="2"/>
    </font>
    <font>
      <b val="true"/>
      <sz val="11"/>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name val="Arial"/>
      <family val="0"/>
      <charset val="1"/>
    </font>
    <font>
      <b val="true"/>
      <sz val="10"/>
      <color rgb="FF0000FF"/>
      <name val="Arial"/>
      <family val="0"/>
      <charset val="1"/>
    </font>
    <font>
      <i val="true"/>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right"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right"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7" fontId="16"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4" min="3" style="0" width="12"/>
    <col collapsed="false" customWidth="true" hidden="false" outlineLevel="0" max="5" min="5" style="0" width="19"/>
    <col collapsed="false" customWidth="true" hidden="false" outlineLevel="0" max="7" min="6" style="0" width="13"/>
    <col collapsed="false" customWidth="true" hidden="false" outlineLevel="0" max="8" min="8" style="0" width="12"/>
    <col collapsed="false" customWidth="true" hidden="false" outlineLevel="0" max="9" min="9" style="0" width="13"/>
    <col collapsed="false" customWidth="true" hidden="false" outlineLevel="0" max="10" min="10" style="0" width="12"/>
    <col collapsed="false" customWidth="true" hidden="false" outlineLevel="0" max="11" min="11" style="0" width="19"/>
    <col collapsed="false" customWidth="true" hidden="false" outlineLevel="0" max="13" min="12" style="0" width="13"/>
    <col collapsed="false" customWidth="true" hidden="false" outlineLevel="0" max="14" min="14" style="0" width="12"/>
    <col collapsed="false" customWidth="true" hidden="false" outlineLevel="0" max="15" min="15" style="0" width="22"/>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H3" s="4" t="n">
        <v>0.043</v>
      </c>
    </row>
    <row r="5" customFormat="false" ht="48" hidden="false" customHeight="true" outlineLevel="0" collapsed="false">
      <c r="A5" s="5" t="s">
        <v>3</v>
      </c>
      <c r="B5" s="5" t="s">
        <v>4</v>
      </c>
      <c r="C5" s="5" t="s">
        <v>5</v>
      </c>
      <c r="D5" s="5" t="s">
        <v>6</v>
      </c>
      <c r="E5" s="5" t="s">
        <v>7</v>
      </c>
      <c r="F5" s="5" t="s">
        <v>8</v>
      </c>
      <c r="G5" s="5" t="s">
        <v>9</v>
      </c>
      <c r="H5" s="5" t="s">
        <v>10</v>
      </c>
      <c r="I5" s="5" t="s">
        <v>11</v>
      </c>
      <c r="J5" s="5" t="s">
        <v>12</v>
      </c>
      <c r="K5" s="5" t="s">
        <v>13</v>
      </c>
      <c r="L5" s="5" t="s">
        <v>14</v>
      </c>
      <c r="M5" s="5" t="s">
        <v>15</v>
      </c>
      <c r="N5" s="5" t="s">
        <v>16</v>
      </c>
      <c r="O5" s="5" t="s">
        <v>17</v>
      </c>
    </row>
    <row r="6" customFormat="false" ht="15" hidden="false" customHeight="false" outlineLevel="0" collapsed="false">
      <c r="A6" s="3" t="n">
        <v>1965</v>
      </c>
      <c r="B6" s="3"/>
      <c r="C6" s="6"/>
      <c r="D6" s="6"/>
      <c r="E6" s="3"/>
      <c r="F6" s="6"/>
      <c r="G6" s="3"/>
      <c r="H6" s="6"/>
      <c r="I6" s="3" t="s">
        <v>18</v>
      </c>
      <c r="J6" s="7" t="n">
        <v>9400</v>
      </c>
      <c r="K6" s="3"/>
      <c r="L6" s="7"/>
      <c r="M6" s="3"/>
      <c r="N6" s="7"/>
      <c r="O6" s="3"/>
    </row>
    <row r="7" customFormat="false" ht="15" hidden="false" customHeight="false" outlineLevel="0" collapsed="false">
      <c r="A7" s="3" t="n">
        <v>1966</v>
      </c>
      <c r="B7" s="3"/>
      <c r="C7" s="6"/>
      <c r="D7" s="6"/>
      <c r="E7" s="3"/>
      <c r="F7" s="6"/>
      <c r="G7" s="3"/>
      <c r="H7" s="6"/>
      <c r="I7" s="3" t="s">
        <v>19</v>
      </c>
      <c r="J7" s="7" t="n">
        <v>9340</v>
      </c>
      <c r="K7" s="3"/>
      <c r="L7" s="7"/>
      <c r="M7" s="3" t="s">
        <v>20</v>
      </c>
      <c r="N7" s="7" t="n">
        <v>929</v>
      </c>
      <c r="O7" s="3"/>
    </row>
    <row r="8" customFormat="false" ht="15" hidden="false" customHeight="false" outlineLevel="0" collapsed="false">
      <c r="A8" s="3" t="n">
        <v>1967</v>
      </c>
      <c r="B8" s="3"/>
      <c r="C8" s="6"/>
      <c r="D8" s="6"/>
      <c r="E8" s="3"/>
      <c r="F8" s="6"/>
      <c r="G8" s="3"/>
      <c r="H8" s="6"/>
      <c r="I8" s="3" t="s">
        <v>21</v>
      </c>
      <c r="J8" s="7" t="n">
        <v>13500</v>
      </c>
      <c r="K8" s="3" t="s">
        <v>22</v>
      </c>
      <c r="L8" s="7" t="n">
        <v>13700</v>
      </c>
      <c r="M8" s="3" t="s">
        <v>23</v>
      </c>
      <c r="N8" s="7" t="n">
        <v>1020</v>
      </c>
      <c r="O8" s="3"/>
    </row>
    <row r="9" customFormat="false" ht="15" hidden="false" customHeight="false" outlineLevel="0" collapsed="false">
      <c r="A9" s="3" t="n">
        <v>1968</v>
      </c>
      <c r="B9" s="3"/>
      <c r="C9" s="6"/>
      <c r="D9" s="6"/>
      <c r="E9" s="3"/>
      <c r="F9" s="6"/>
      <c r="G9" s="3"/>
      <c r="H9" s="6"/>
      <c r="I9" s="3" t="s">
        <v>24</v>
      </c>
      <c r="J9" s="7" t="n">
        <v>10200</v>
      </c>
      <c r="K9" s="3"/>
      <c r="L9" s="7"/>
      <c r="M9" s="3" t="s">
        <v>25</v>
      </c>
      <c r="N9" s="7" t="n">
        <v>1150</v>
      </c>
      <c r="O9" s="3"/>
    </row>
    <row r="10" customFormat="false" ht="15" hidden="false" customHeight="false" outlineLevel="0" collapsed="false">
      <c r="A10" s="3" t="n">
        <v>1969</v>
      </c>
      <c r="B10" s="3" t="s">
        <v>26</v>
      </c>
      <c r="C10" s="6" t="n">
        <v>5.578</v>
      </c>
      <c r="D10" s="6" t="n">
        <f aca="false">C10+$H$3</f>
        <v>5.621</v>
      </c>
      <c r="E10" s="3" t="s">
        <v>27</v>
      </c>
      <c r="F10" s="6" t="n">
        <v>5.602</v>
      </c>
      <c r="G10" s="3" t="s">
        <v>28</v>
      </c>
      <c r="H10" s="6" t="n">
        <v>0.61</v>
      </c>
      <c r="I10" s="3" t="s">
        <v>26</v>
      </c>
      <c r="J10" s="7" t="n">
        <v>9660</v>
      </c>
      <c r="K10" s="3" t="s">
        <v>29</v>
      </c>
      <c r="L10" s="7" t="n">
        <v>9740</v>
      </c>
      <c r="M10" s="3" t="s">
        <v>30</v>
      </c>
      <c r="N10" s="7" t="n">
        <v>917</v>
      </c>
      <c r="O10" s="3"/>
    </row>
    <row r="11" customFormat="false" ht="15" hidden="false" customHeight="false" outlineLevel="0" collapsed="false">
      <c r="A11" s="3" t="n">
        <v>1970</v>
      </c>
      <c r="B11" s="3" t="s">
        <v>31</v>
      </c>
      <c r="C11" s="6" t="n">
        <v>5.523</v>
      </c>
      <c r="D11" s="6" t="n">
        <f aca="false">C11+$H$3</f>
        <v>5.566</v>
      </c>
      <c r="E11" s="3" t="s">
        <v>32</v>
      </c>
      <c r="F11" s="6" t="n">
        <v>5.566</v>
      </c>
      <c r="G11" s="3" t="s">
        <v>33</v>
      </c>
      <c r="H11" s="6" t="n">
        <v>0.546</v>
      </c>
      <c r="I11" s="3" t="s">
        <v>31</v>
      </c>
      <c r="J11" s="7" t="n">
        <v>9570</v>
      </c>
      <c r="K11" s="3"/>
      <c r="L11" s="7"/>
      <c r="M11" s="3" t="s">
        <v>34</v>
      </c>
      <c r="N11" s="7" t="n">
        <v>830</v>
      </c>
      <c r="O11" s="3"/>
    </row>
    <row r="12" customFormat="false" ht="15" hidden="false" customHeight="false" outlineLevel="0" collapsed="false">
      <c r="A12" s="3" t="n">
        <v>1971</v>
      </c>
      <c r="B12" s="3" t="s">
        <v>35</v>
      </c>
      <c r="C12" s="6" t="n">
        <v>5.52</v>
      </c>
      <c r="D12" s="6" t="n">
        <f aca="false">C12+$H$3</f>
        <v>5.563</v>
      </c>
      <c r="E12" s="3" t="s">
        <v>36</v>
      </c>
      <c r="F12" s="6" t="n">
        <v>5.56</v>
      </c>
      <c r="G12" s="3" t="s">
        <v>37</v>
      </c>
      <c r="H12" s="6" t="n">
        <v>0.433</v>
      </c>
      <c r="I12" s="3" t="s">
        <v>38</v>
      </c>
      <c r="J12" s="7" t="n">
        <v>9570</v>
      </c>
      <c r="K12" s="3"/>
      <c r="L12" s="7"/>
      <c r="M12" s="3" t="s">
        <v>39</v>
      </c>
      <c r="N12" s="7" t="n">
        <v>799</v>
      </c>
      <c r="O12" s="3"/>
    </row>
    <row r="13" customFormat="false" ht="15" hidden="false" customHeight="false" outlineLevel="0" collapsed="false">
      <c r="A13" s="3" t="n">
        <v>1972</v>
      </c>
      <c r="B13" s="3" t="s">
        <v>40</v>
      </c>
      <c r="C13" s="6" t="n">
        <v>7.077</v>
      </c>
      <c r="D13" s="6" t="n">
        <f aca="false">C13+$H$3</f>
        <v>7.12</v>
      </c>
      <c r="E13" s="3" t="s">
        <v>41</v>
      </c>
      <c r="F13" s="6" t="n">
        <v>7.108</v>
      </c>
      <c r="G13" s="3" t="s">
        <v>42</v>
      </c>
      <c r="H13" s="6" t="n">
        <v>0.622</v>
      </c>
      <c r="I13" s="3" t="s">
        <v>40</v>
      </c>
      <c r="J13" s="7" t="n">
        <v>14400</v>
      </c>
      <c r="K13" s="3"/>
      <c r="L13" s="7"/>
      <c r="M13" s="3" t="s">
        <v>43</v>
      </c>
      <c r="N13" s="7" t="n">
        <v>725</v>
      </c>
      <c r="O13" s="3" t="s">
        <v>44</v>
      </c>
    </row>
    <row r="14" customFormat="false" ht="15" hidden="false" customHeight="false" outlineLevel="0" collapsed="false">
      <c r="A14" s="3" t="n">
        <v>1973</v>
      </c>
      <c r="B14" s="3" t="s">
        <v>45</v>
      </c>
      <c r="C14" s="6" t="n">
        <v>5.224</v>
      </c>
      <c r="D14" s="6" t="n">
        <f aca="false">C14+$H$3</f>
        <v>5.267</v>
      </c>
      <c r="E14" s="3" t="s">
        <v>46</v>
      </c>
      <c r="F14" s="6" t="n">
        <v>5.264</v>
      </c>
      <c r="G14" s="3" t="s">
        <v>47</v>
      </c>
      <c r="H14" s="6" t="n">
        <v>0.512</v>
      </c>
      <c r="I14" s="3" t="s">
        <v>45</v>
      </c>
      <c r="J14" s="7" t="n">
        <v>8980</v>
      </c>
      <c r="K14" s="3"/>
      <c r="L14" s="7"/>
      <c r="M14" s="3" t="s">
        <v>48</v>
      </c>
      <c r="N14" s="7" t="n">
        <v>985</v>
      </c>
      <c r="O14" s="3"/>
    </row>
    <row r="15" customFormat="false" ht="15" hidden="false" customHeight="false" outlineLevel="0" collapsed="false">
      <c r="A15" s="3" t="n">
        <v>1974</v>
      </c>
      <c r="B15" s="3" t="s">
        <v>49</v>
      </c>
      <c r="C15" s="6" t="n">
        <v>6.77</v>
      </c>
      <c r="D15" s="6" t="n">
        <f aca="false">C15+$H$3</f>
        <v>6.813</v>
      </c>
      <c r="E15" s="3"/>
      <c r="F15" s="6"/>
      <c r="G15" s="3" t="s">
        <v>50</v>
      </c>
      <c r="H15" s="6" t="n">
        <v>0.57</v>
      </c>
      <c r="I15" s="3" t="s">
        <v>49</v>
      </c>
      <c r="J15" s="7" t="n">
        <v>13100</v>
      </c>
      <c r="K15" s="3" t="s">
        <v>51</v>
      </c>
      <c r="L15" s="7" t="n">
        <v>13400</v>
      </c>
      <c r="M15" s="3" t="s">
        <v>52</v>
      </c>
      <c r="N15" s="7" t="n">
        <v>937</v>
      </c>
      <c r="O15" s="3"/>
    </row>
    <row r="16" customFormat="false" ht="15" hidden="false" customHeight="false" outlineLevel="0" collapsed="false">
      <c r="A16" s="3" t="n">
        <v>1975</v>
      </c>
      <c r="B16" s="3" t="s">
        <v>53</v>
      </c>
      <c r="C16" s="6" t="n">
        <v>5.319</v>
      </c>
      <c r="D16" s="6" t="n">
        <f aca="false">C16+$H$3</f>
        <v>5.362</v>
      </c>
      <c r="E16" s="3"/>
      <c r="F16" s="6"/>
      <c r="G16" s="3" t="s">
        <v>54</v>
      </c>
      <c r="H16" s="6" t="n">
        <v>0.454</v>
      </c>
      <c r="I16" s="3" t="s">
        <v>53</v>
      </c>
      <c r="J16" s="7" t="n">
        <v>9150</v>
      </c>
      <c r="K16" s="3" t="s">
        <v>55</v>
      </c>
      <c r="L16" s="7" t="n">
        <v>9230</v>
      </c>
      <c r="M16" s="3" t="s">
        <v>56</v>
      </c>
      <c r="N16" s="7" t="n">
        <v>818</v>
      </c>
      <c r="O16" s="3"/>
    </row>
    <row r="17" customFormat="false" ht="15" hidden="false" customHeight="false" outlineLevel="0" collapsed="false">
      <c r="A17" s="3" t="n">
        <v>1976</v>
      </c>
      <c r="B17" s="3" t="s">
        <v>57</v>
      </c>
      <c r="C17" s="6" t="n">
        <v>5.767</v>
      </c>
      <c r="D17" s="6" t="n">
        <f aca="false">C17+$H$3</f>
        <v>5.81</v>
      </c>
      <c r="E17" s="3" t="s">
        <v>58</v>
      </c>
      <c r="F17" s="6" t="n">
        <v>5.785</v>
      </c>
      <c r="G17" s="3" t="s">
        <v>59</v>
      </c>
      <c r="H17" s="6" t="n">
        <v>0.475</v>
      </c>
      <c r="I17" s="3" t="s">
        <v>57</v>
      </c>
      <c r="J17" s="7" t="n">
        <v>10100</v>
      </c>
      <c r="K17" s="3" t="s">
        <v>58</v>
      </c>
      <c r="L17" s="7" t="n">
        <v>10100</v>
      </c>
      <c r="M17" s="3" t="s">
        <v>59</v>
      </c>
      <c r="N17" s="7" t="n">
        <v>1040</v>
      </c>
      <c r="O17" s="3"/>
    </row>
    <row r="18" customFormat="false" ht="15" hidden="false" customHeight="false" outlineLevel="0" collapsed="false">
      <c r="A18" s="3" t="n">
        <v>1977</v>
      </c>
      <c r="B18" s="3" t="s">
        <v>60</v>
      </c>
      <c r="C18" s="6" t="n">
        <v>4.173</v>
      </c>
      <c r="D18" s="6" t="n">
        <f aca="false">C18+$H$3</f>
        <v>4.216</v>
      </c>
      <c r="E18" s="3"/>
      <c r="F18" s="6"/>
      <c r="G18" s="3" t="s">
        <v>61</v>
      </c>
      <c r="H18" s="6" t="n">
        <v>0.521</v>
      </c>
      <c r="I18" s="3" t="s">
        <v>60</v>
      </c>
      <c r="J18" s="7" t="n">
        <v>7110</v>
      </c>
      <c r="K18" s="3" t="s">
        <v>62</v>
      </c>
      <c r="L18" s="7" t="n">
        <v>7160</v>
      </c>
      <c r="M18" s="3" t="s">
        <v>63</v>
      </c>
      <c r="N18" s="7" t="n">
        <v>1030</v>
      </c>
      <c r="O18" s="3"/>
    </row>
    <row r="19" customFormat="false" ht="15" hidden="false" customHeight="false" outlineLevel="0" collapsed="false">
      <c r="A19" s="3" t="n">
        <v>1978</v>
      </c>
      <c r="B19" s="3" t="s">
        <v>64</v>
      </c>
      <c r="C19" s="6" t="n">
        <v>4.532</v>
      </c>
      <c r="D19" s="6" t="n">
        <f aca="false">C19+$H$3</f>
        <v>4.575</v>
      </c>
      <c r="E19" s="3"/>
      <c r="F19" s="6"/>
      <c r="G19" s="3" t="s">
        <v>65</v>
      </c>
      <c r="H19" s="6" t="n">
        <v>0.472</v>
      </c>
      <c r="I19" s="3" t="s">
        <v>64</v>
      </c>
      <c r="J19" s="7" t="n">
        <v>7730</v>
      </c>
      <c r="K19" s="3" t="s">
        <v>66</v>
      </c>
      <c r="L19" s="7" t="n">
        <v>7820</v>
      </c>
      <c r="M19" s="3" t="s">
        <v>67</v>
      </c>
      <c r="N19" s="7" t="n">
        <v>915</v>
      </c>
      <c r="O19" s="3"/>
    </row>
    <row r="20" customFormat="false" ht="15" hidden="false" customHeight="false" outlineLevel="0" collapsed="false">
      <c r="A20" s="3" t="n">
        <v>1979</v>
      </c>
      <c r="B20" s="3" t="s">
        <v>68</v>
      </c>
      <c r="C20" s="6" t="n">
        <v>4.932</v>
      </c>
      <c r="D20" s="6" t="n">
        <f aca="false">C20+$H$3</f>
        <v>4.975</v>
      </c>
      <c r="E20" s="3" t="s">
        <v>69</v>
      </c>
      <c r="F20" s="6" t="n">
        <v>4.992</v>
      </c>
      <c r="G20" s="3"/>
      <c r="H20" s="6"/>
      <c r="I20" s="3" t="s">
        <v>68</v>
      </c>
      <c r="J20" s="7" t="n">
        <v>8440</v>
      </c>
      <c r="K20" s="3" t="s">
        <v>70</v>
      </c>
      <c r="L20" s="7" t="n">
        <v>8550</v>
      </c>
      <c r="M20" s="3" t="s">
        <v>71</v>
      </c>
      <c r="N20" s="7" t="n">
        <v>838</v>
      </c>
      <c r="O20" s="3" t="s">
        <v>72</v>
      </c>
    </row>
    <row r="21" customFormat="false" ht="15" hidden="false" customHeight="false" outlineLevel="0" collapsed="false">
      <c r="A21" s="3" t="n">
        <v>1980</v>
      </c>
      <c r="B21" s="3" t="s">
        <v>73</v>
      </c>
      <c r="C21" s="6" t="n">
        <v>4.608</v>
      </c>
      <c r="D21" s="6" t="n">
        <f aca="false">C21+$H$3</f>
        <v>4.651</v>
      </c>
      <c r="E21" s="3" t="s">
        <v>74</v>
      </c>
      <c r="F21" s="6" t="n">
        <v>4.825</v>
      </c>
      <c r="G21" s="3"/>
      <c r="H21" s="6"/>
      <c r="I21" s="3" t="s">
        <v>73</v>
      </c>
      <c r="J21" s="7" t="n">
        <v>7850</v>
      </c>
      <c r="K21" s="3" t="s">
        <v>74</v>
      </c>
      <c r="L21" s="7" t="n">
        <v>8230</v>
      </c>
      <c r="M21" s="3" t="s">
        <v>75</v>
      </c>
      <c r="N21" s="7" t="n">
        <v>648</v>
      </c>
      <c r="O21" s="3"/>
    </row>
    <row r="22" customFormat="false" ht="15" hidden="false" customHeight="false" outlineLevel="0" collapsed="false">
      <c r="A22" s="3" t="n">
        <v>1981</v>
      </c>
      <c r="B22" s="3" t="s">
        <v>76</v>
      </c>
      <c r="C22" s="6" t="n">
        <v>5.029</v>
      </c>
      <c r="D22" s="6" t="n">
        <f aca="false">C22+$H$3</f>
        <v>5.072</v>
      </c>
      <c r="E22" s="3" t="s">
        <v>77</v>
      </c>
      <c r="F22" s="6" t="n">
        <v>5.081</v>
      </c>
      <c r="G22" s="3"/>
      <c r="H22" s="6"/>
      <c r="I22" s="3" t="s">
        <v>76</v>
      </c>
      <c r="J22" s="7" t="n">
        <v>8610</v>
      </c>
      <c r="K22" s="3" t="s">
        <v>77</v>
      </c>
      <c r="L22" s="7" t="n">
        <v>8700</v>
      </c>
      <c r="M22" s="3" t="s">
        <v>78</v>
      </c>
      <c r="N22" s="7" t="n">
        <v>1330</v>
      </c>
      <c r="O22" s="3"/>
    </row>
    <row r="23" customFormat="false" ht="15" hidden="false" customHeight="false" outlineLevel="0" collapsed="false">
      <c r="A23" s="3" t="n">
        <v>1982</v>
      </c>
      <c r="B23" s="3" t="s">
        <v>79</v>
      </c>
      <c r="C23" s="6" t="n">
        <v>6.168</v>
      </c>
      <c r="D23" s="6" t="n">
        <f aca="false">C23+$H$3</f>
        <v>6.211</v>
      </c>
      <c r="E23" s="3" t="s">
        <v>80</v>
      </c>
      <c r="F23" s="6" t="n">
        <v>6.252</v>
      </c>
      <c r="G23" s="3"/>
      <c r="H23" s="6"/>
      <c r="I23" s="3" t="s">
        <v>81</v>
      </c>
      <c r="J23" s="7" t="n">
        <v>11100</v>
      </c>
      <c r="K23" s="3" t="s">
        <v>80</v>
      </c>
      <c r="L23" s="7" t="n">
        <v>11300</v>
      </c>
      <c r="M23" s="3" t="s">
        <v>82</v>
      </c>
      <c r="N23" s="7" t="n">
        <v>858</v>
      </c>
      <c r="O23" s="3"/>
    </row>
    <row r="24" customFormat="false" ht="15" hidden="false" customHeight="false" outlineLevel="0" collapsed="false">
      <c r="A24" s="3" t="n">
        <v>1983</v>
      </c>
      <c r="B24" s="3" t="s">
        <v>83</v>
      </c>
      <c r="C24" s="6" t="n">
        <v>4.664</v>
      </c>
      <c r="D24" s="6" t="n">
        <f aca="false">C24+$H$3</f>
        <v>4.707</v>
      </c>
      <c r="E24" s="3" t="s">
        <v>84</v>
      </c>
      <c r="F24" s="6" t="n">
        <v>4.696</v>
      </c>
      <c r="G24" s="3" t="s">
        <v>85</v>
      </c>
      <c r="H24" s="6" t="n">
        <v>0.611</v>
      </c>
      <c r="I24" s="3" t="s">
        <v>83</v>
      </c>
      <c r="J24" s="7" t="n">
        <v>8490</v>
      </c>
      <c r="K24" s="3"/>
      <c r="L24" s="7"/>
      <c r="M24" s="3" t="s">
        <v>86</v>
      </c>
      <c r="N24" s="7" t="n">
        <v>1160</v>
      </c>
      <c r="O24" s="3"/>
    </row>
    <row r="25" customFormat="false" ht="15" hidden="false" customHeight="false" outlineLevel="0" collapsed="false">
      <c r="A25" s="3" t="n">
        <v>1984</v>
      </c>
      <c r="B25" s="3" t="s">
        <v>87</v>
      </c>
      <c r="C25" s="6" t="n">
        <v>5.234</v>
      </c>
      <c r="D25" s="6" t="n">
        <f aca="false">C25+$H$3</f>
        <v>5.277</v>
      </c>
      <c r="E25" s="3" t="s">
        <v>88</v>
      </c>
      <c r="F25" s="6" t="n">
        <v>5.238</v>
      </c>
      <c r="G25" s="3" t="s">
        <v>89</v>
      </c>
      <c r="H25" s="6" t="n">
        <v>0.445</v>
      </c>
      <c r="I25" s="3" t="s">
        <v>90</v>
      </c>
      <c r="J25" s="7" t="n">
        <v>9120</v>
      </c>
      <c r="K25" s="3" t="s">
        <v>88</v>
      </c>
      <c r="L25" s="7" t="n">
        <v>9270</v>
      </c>
      <c r="M25" s="3" t="s">
        <v>89</v>
      </c>
      <c r="N25" s="7" t="n">
        <v>900</v>
      </c>
      <c r="O25" s="3" t="s">
        <v>72</v>
      </c>
    </row>
    <row r="26" customFormat="false" ht="15" hidden="false" customHeight="false" outlineLevel="0" collapsed="false">
      <c r="A26" s="3" t="n">
        <v>1985</v>
      </c>
      <c r="B26" s="3" t="s">
        <v>91</v>
      </c>
      <c r="C26" s="6" t="n">
        <v>5.622</v>
      </c>
      <c r="D26" s="6" t="n">
        <f aca="false">C26+$H$3</f>
        <v>5.665</v>
      </c>
      <c r="E26" s="3" t="s">
        <v>92</v>
      </c>
      <c r="F26" s="6" t="n">
        <v>5.676</v>
      </c>
      <c r="G26" s="3" t="s">
        <v>93</v>
      </c>
      <c r="H26" s="6" t="n">
        <v>0.362</v>
      </c>
      <c r="I26" s="3" t="s">
        <v>94</v>
      </c>
      <c r="J26" s="7" t="n">
        <v>11000</v>
      </c>
      <c r="K26" s="3" t="s">
        <v>95</v>
      </c>
      <c r="L26" s="7" t="n">
        <v>11100</v>
      </c>
      <c r="M26" s="3" t="s">
        <v>96</v>
      </c>
      <c r="N26" s="7" t="n">
        <v>805</v>
      </c>
      <c r="O26" s="3" t="s">
        <v>72</v>
      </c>
    </row>
    <row r="27" customFormat="false" ht="15" hidden="false" customHeight="false" outlineLevel="0" collapsed="false">
      <c r="A27" s="3" t="n">
        <v>1986</v>
      </c>
      <c r="B27" s="3" t="s">
        <v>97</v>
      </c>
      <c r="C27" s="6" t="n">
        <v>6.137</v>
      </c>
      <c r="D27" s="6" t="n">
        <f aca="false">C27+$H$3</f>
        <v>6.18</v>
      </c>
      <c r="E27" s="3" t="s">
        <v>98</v>
      </c>
      <c r="F27" s="6" t="n">
        <v>6.189</v>
      </c>
      <c r="G27" s="3" t="s">
        <v>99</v>
      </c>
      <c r="H27" s="6" t="n">
        <v>0.507</v>
      </c>
      <c r="I27" s="3" t="s">
        <v>100</v>
      </c>
      <c r="J27" s="7" t="n">
        <v>12400</v>
      </c>
      <c r="K27" s="3" t="s">
        <v>101</v>
      </c>
      <c r="L27" s="7" t="n">
        <v>12600</v>
      </c>
      <c r="M27" s="3" t="s">
        <v>102</v>
      </c>
      <c r="N27" s="7" t="n">
        <v>947</v>
      </c>
      <c r="O27" s="3"/>
    </row>
    <row r="28" customFormat="false" ht="15" hidden="false" customHeight="false" outlineLevel="0" collapsed="false">
      <c r="A28" s="3" t="n">
        <v>1987</v>
      </c>
      <c r="B28" s="3" t="s">
        <v>103</v>
      </c>
      <c r="C28" s="6" t="n">
        <v>4.553</v>
      </c>
      <c r="D28" s="6" t="n">
        <f aca="false">C28+$H$3</f>
        <v>4.596</v>
      </c>
      <c r="E28" s="3" t="s">
        <v>104</v>
      </c>
      <c r="F28" s="6" t="n">
        <v>4.603</v>
      </c>
      <c r="G28" s="3" t="s">
        <v>105</v>
      </c>
      <c r="H28" s="6" t="n">
        <v>0.405</v>
      </c>
      <c r="I28" s="3" t="s">
        <v>103</v>
      </c>
      <c r="J28" s="7" t="n">
        <v>8500</v>
      </c>
      <c r="K28" s="3" t="s">
        <v>106</v>
      </c>
      <c r="L28" s="7" t="n">
        <v>8640</v>
      </c>
      <c r="M28" s="3" t="s">
        <v>107</v>
      </c>
      <c r="N28" s="7" t="n">
        <v>979</v>
      </c>
      <c r="O28" s="3"/>
    </row>
    <row r="29" customFormat="false" ht="15" hidden="false" customHeight="false" outlineLevel="0" collapsed="false">
      <c r="A29" s="3" t="n">
        <v>1988</v>
      </c>
      <c r="B29" s="3" t="s">
        <v>108</v>
      </c>
      <c r="C29" s="6" t="n">
        <v>4.668</v>
      </c>
      <c r="D29" s="6" t="n">
        <f aca="false">C29+$H$3</f>
        <v>4.711</v>
      </c>
      <c r="E29" s="3" t="s">
        <v>109</v>
      </c>
      <c r="F29" s="6" t="n">
        <v>4.759</v>
      </c>
      <c r="G29" s="3" t="s">
        <v>110</v>
      </c>
      <c r="H29" s="6" t="n">
        <v>0.353</v>
      </c>
      <c r="I29" s="3" t="s">
        <v>111</v>
      </c>
      <c r="J29" s="7" t="n">
        <v>8050</v>
      </c>
      <c r="K29" s="3" t="s">
        <v>112</v>
      </c>
      <c r="L29" s="7" t="n">
        <v>8240</v>
      </c>
      <c r="M29" s="3" t="s">
        <v>113</v>
      </c>
      <c r="N29" s="7" t="n">
        <v>682</v>
      </c>
      <c r="O29" s="3" t="s">
        <v>114</v>
      </c>
    </row>
    <row r="30" customFormat="false" ht="15" hidden="false" customHeight="false" outlineLevel="0" collapsed="false">
      <c r="A30" s="3" t="n">
        <v>1989</v>
      </c>
      <c r="B30" s="3" t="s">
        <v>115</v>
      </c>
      <c r="C30" s="6" t="n">
        <v>4.556</v>
      </c>
      <c r="D30" s="6" t="n">
        <f aca="false">C30+$H$3</f>
        <v>4.599</v>
      </c>
      <c r="E30" s="3" t="s">
        <v>116</v>
      </c>
      <c r="F30" s="6" t="n">
        <v>4.639</v>
      </c>
      <c r="G30" s="3" t="s">
        <v>117</v>
      </c>
      <c r="H30" s="6" t="n">
        <v>0.446</v>
      </c>
      <c r="I30" s="3" t="s">
        <v>118</v>
      </c>
      <c r="J30" s="7" t="n">
        <v>7980</v>
      </c>
      <c r="K30" s="3" t="s">
        <v>119</v>
      </c>
      <c r="L30" s="7" t="n">
        <v>8150</v>
      </c>
      <c r="M30" s="3" t="s">
        <v>120</v>
      </c>
      <c r="N30" s="7" t="n">
        <v>879</v>
      </c>
      <c r="O30" s="3" t="s">
        <v>44</v>
      </c>
    </row>
    <row r="31" customFormat="false" ht="15" hidden="false" customHeight="false" outlineLevel="0" collapsed="false">
      <c r="A31" s="3" t="n">
        <v>1990</v>
      </c>
      <c r="B31" s="3"/>
      <c r="C31" s="6"/>
      <c r="D31" s="6"/>
      <c r="E31" s="3"/>
      <c r="F31" s="6"/>
      <c r="G31" s="3" t="s">
        <v>121</v>
      </c>
      <c r="H31" s="6" t="n">
        <v>0.511</v>
      </c>
      <c r="I31" s="3" t="s">
        <v>122</v>
      </c>
      <c r="J31" s="7" t="n">
        <v>10800</v>
      </c>
      <c r="K31" s="3" t="s">
        <v>123</v>
      </c>
      <c r="L31" s="7" t="n">
        <v>11100</v>
      </c>
      <c r="M31" s="3" t="s">
        <v>124</v>
      </c>
      <c r="N31" s="7" t="n">
        <v>1030</v>
      </c>
      <c r="O31" s="3" t="s">
        <v>72</v>
      </c>
    </row>
    <row r="32" customFormat="false" ht="15" hidden="false" customHeight="false" outlineLevel="0" collapsed="false">
      <c r="A32" s="3" t="n">
        <v>1991</v>
      </c>
      <c r="B32" s="3" t="s">
        <v>125</v>
      </c>
      <c r="C32" s="6" t="n">
        <v>4.943</v>
      </c>
      <c r="D32" s="6" t="n">
        <f aca="false">C32+$H$3</f>
        <v>4.986</v>
      </c>
      <c r="E32" s="3" t="s">
        <v>126</v>
      </c>
      <c r="F32" s="6" t="n">
        <v>4.971</v>
      </c>
      <c r="G32" s="3" t="s">
        <v>127</v>
      </c>
      <c r="H32" s="6" t="n">
        <v>0.577</v>
      </c>
      <c r="I32" s="3" t="s">
        <v>125</v>
      </c>
      <c r="J32" s="7" t="n">
        <v>8890</v>
      </c>
      <c r="K32" s="3" t="s">
        <v>126</v>
      </c>
      <c r="L32" s="7" t="n">
        <v>9060</v>
      </c>
      <c r="M32" s="3" t="s">
        <v>128</v>
      </c>
      <c r="N32" s="7" t="n">
        <v>920</v>
      </c>
      <c r="O32" s="3" t="s">
        <v>72</v>
      </c>
    </row>
    <row r="33" customFormat="false" ht="15" hidden="false" customHeight="false" outlineLevel="0" collapsed="false">
      <c r="A33" s="3" t="n">
        <v>1992</v>
      </c>
      <c r="B33" s="3" t="s">
        <v>129</v>
      </c>
      <c r="C33" s="6" t="n">
        <v>4.022</v>
      </c>
      <c r="D33" s="6" t="n">
        <f aca="false">C33+$H$3</f>
        <v>4.065</v>
      </c>
      <c r="E33" s="3" t="s">
        <v>130</v>
      </c>
      <c r="F33" s="6" t="n">
        <v>4.099</v>
      </c>
      <c r="G33" s="3" t="s">
        <v>131</v>
      </c>
      <c r="H33" s="6" t="n">
        <v>0.633</v>
      </c>
      <c r="I33" s="3" t="s">
        <v>129</v>
      </c>
      <c r="J33" s="7" t="n">
        <v>7240</v>
      </c>
      <c r="K33" s="3" t="s">
        <v>132</v>
      </c>
      <c r="L33" s="7" t="n">
        <v>7440</v>
      </c>
      <c r="M33" s="3" t="s">
        <v>131</v>
      </c>
      <c r="N33" s="7" t="n">
        <v>820</v>
      </c>
      <c r="O33" s="3" t="s">
        <v>44</v>
      </c>
    </row>
    <row r="34" customFormat="false" ht="15" hidden="false" customHeight="false" outlineLevel="0" collapsed="false">
      <c r="A34" s="3" t="n">
        <v>1993</v>
      </c>
      <c r="B34" s="8" t="s">
        <v>133</v>
      </c>
      <c r="C34" s="6"/>
      <c r="D34" s="6"/>
      <c r="E34" s="3"/>
      <c r="F34" s="6"/>
      <c r="G34" s="3"/>
      <c r="H34" s="6"/>
      <c r="I34" s="3"/>
      <c r="J34" s="7"/>
      <c r="K34" s="3"/>
      <c r="L34" s="7"/>
      <c r="M34" s="3"/>
      <c r="N34" s="7"/>
      <c r="O34" s="3"/>
    </row>
    <row r="35" customFormat="false" ht="15" hidden="false" customHeight="false" outlineLevel="0" collapsed="false">
      <c r="A35" s="3" t="n">
        <v>1994</v>
      </c>
      <c r="B35" s="8" t="s">
        <v>133</v>
      </c>
      <c r="C35" s="6"/>
      <c r="D35" s="6"/>
      <c r="E35" s="3"/>
      <c r="F35" s="6"/>
      <c r="G35" s="3"/>
      <c r="H35" s="6"/>
      <c r="I35" s="3"/>
      <c r="J35" s="7"/>
      <c r="K35" s="3"/>
      <c r="L35" s="7"/>
      <c r="M35" s="3"/>
      <c r="N35" s="7"/>
      <c r="O35" s="3"/>
    </row>
    <row r="36" customFormat="false" ht="15" hidden="false" customHeight="false" outlineLevel="0" collapsed="false">
      <c r="A36" s="3" t="n">
        <v>1995</v>
      </c>
      <c r="B36" s="8" t="s">
        <v>133</v>
      </c>
      <c r="C36" s="6"/>
      <c r="D36" s="6"/>
      <c r="E36" s="3"/>
      <c r="F36" s="6"/>
      <c r="G36" s="3"/>
      <c r="H36" s="6"/>
      <c r="I36" s="3"/>
      <c r="J36" s="7"/>
      <c r="K36" s="3"/>
      <c r="L36" s="7"/>
      <c r="M36" s="3"/>
      <c r="N36" s="7"/>
      <c r="O36" s="3"/>
    </row>
    <row r="37" customFormat="false" ht="15" hidden="false" customHeight="false" outlineLevel="0" collapsed="false">
      <c r="A37" s="3" t="n">
        <v>1996</v>
      </c>
      <c r="B37" s="8" t="s">
        <v>133</v>
      </c>
      <c r="C37" s="6"/>
      <c r="D37" s="6"/>
      <c r="E37" s="3"/>
      <c r="F37" s="6"/>
      <c r="G37" s="3"/>
      <c r="H37" s="6"/>
      <c r="I37" s="3"/>
      <c r="J37" s="7"/>
      <c r="K37" s="3"/>
      <c r="L37" s="7"/>
      <c r="M37" s="3"/>
      <c r="N37" s="7"/>
      <c r="O37" s="3"/>
    </row>
    <row r="38" customFormat="false" ht="15" hidden="false" customHeight="false" outlineLevel="0" collapsed="false">
      <c r="A38" s="3" t="n">
        <v>1997</v>
      </c>
      <c r="B38" s="3" t="s">
        <v>134</v>
      </c>
      <c r="C38" s="6" t="n">
        <v>6.325</v>
      </c>
      <c r="D38" s="6" t="n">
        <f aca="false">C38+$H$3</f>
        <v>6.368</v>
      </c>
      <c r="E38" s="3" t="s">
        <v>135</v>
      </c>
      <c r="F38" s="6" t="n">
        <v>6.394</v>
      </c>
      <c r="G38" s="3"/>
      <c r="H38" s="6"/>
      <c r="I38" s="3"/>
      <c r="J38" s="7"/>
      <c r="K38" s="3"/>
      <c r="L38" s="7"/>
      <c r="M38" s="3"/>
      <c r="N38" s="7"/>
      <c r="O38" s="3"/>
    </row>
    <row r="39" customFormat="false" ht="15" hidden="false" customHeight="false" outlineLevel="0" collapsed="false">
      <c r="A39" s="3" t="n">
        <v>1998</v>
      </c>
      <c r="B39" s="3" t="s">
        <v>136</v>
      </c>
      <c r="C39" s="6" t="n">
        <v>4.078</v>
      </c>
      <c r="D39" s="6" t="n">
        <f aca="false">C39+$H$3</f>
        <v>4.121</v>
      </c>
      <c r="E39" s="3" t="s">
        <v>137</v>
      </c>
      <c r="F39" s="6" t="n">
        <v>4.131</v>
      </c>
      <c r="G39" s="3"/>
      <c r="H39" s="6"/>
      <c r="I39" s="3"/>
      <c r="J39" s="7"/>
      <c r="K39" s="3"/>
      <c r="L39" s="7"/>
      <c r="M39" s="3"/>
      <c r="N39" s="7"/>
      <c r="O39" s="3"/>
    </row>
    <row r="40" customFormat="false" ht="15" hidden="false" customHeight="false" outlineLevel="0" collapsed="false">
      <c r="A40" s="3" t="n">
        <v>1999</v>
      </c>
      <c r="B40" s="3" t="s">
        <v>138</v>
      </c>
      <c r="C40" s="6" t="n">
        <v>6.214</v>
      </c>
      <c r="D40" s="6" t="n">
        <f aca="false">C40+$H$3</f>
        <v>6.257</v>
      </c>
      <c r="E40" s="3" t="s">
        <v>139</v>
      </c>
      <c r="F40" s="6" t="n">
        <v>6.257</v>
      </c>
      <c r="G40" s="3" t="s">
        <v>140</v>
      </c>
      <c r="H40" s="6" t="n">
        <v>0.704</v>
      </c>
      <c r="I40" s="3"/>
      <c r="J40" s="7"/>
      <c r="K40" s="3"/>
      <c r="L40" s="7"/>
      <c r="M40" s="3"/>
      <c r="N40" s="7"/>
      <c r="O40" s="3"/>
    </row>
    <row r="41" customFormat="false" ht="15" hidden="false" customHeight="false" outlineLevel="0" collapsed="false">
      <c r="A41" s="3" t="n">
        <v>2000</v>
      </c>
      <c r="B41" s="3" t="s">
        <v>141</v>
      </c>
      <c r="C41" s="6" t="n">
        <v>4.758</v>
      </c>
      <c r="D41" s="6" t="n">
        <f aca="false">C41+$H$3</f>
        <v>4.801</v>
      </c>
      <c r="E41" s="3" t="s">
        <v>142</v>
      </c>
      <c r="F41" s="6" t="n">
        <v>4.862</v>
      </c>
      <c r="G41" s="3" t="s">
        <v>143</v>
      </c>
      <c r="H41" s="6" t="n">
        <v>0.37</v>
      </c>
      <c r="I41" s="3" t="s">
        <v>141</v>
      </c>
      <c r="J41" s="7" t="n">
        <v>8470</v>
      </c>
      <c r="K41" s="3" t="s">
        <v>142</v>
      </c>
      <c r="L41" s="7" t="n">
        <v>8660</v>
      </c>
      <c r="M41" s="3"/>
      <c r="N41" s="7"/>
      <c r="O41" s="3"/>
    </row>
    <row r="42" customFormat="false" ht="15" hidden="false" customHeight="false" outlineLevel="0" collapsed="false">
      <c r="A42" s="3" t="n">
        <v>2001</v>
      </c>
      <c r="B42" s="3" t="s">
        <v>144</v>
      </c>
      <c r="C42" s="6" t="n">
        <v>3.94</v>
      </c>
      <c r="D42" s="6" t="n">
        <f aca="false">C42+$H$3</f>
        <v>3.983</v>
      </c>
      <c r="E42" s="3" t="s">
        <v>145</v>
      </c>
      <c r="F42" s="6" t="n">
        <v>4.048</v>
      </c>
      <c r="G42" s="3" t="s">
        <v>146</v>
      </c>
      <c r="H42" s="6" t="n">
        <v>0.403</v>
      </c>
      <c r="I42" s="3" t="s">
        <v>144</v>
      </c>
      <c r="J42" s="7" t="n">
        <v>7090</v>
      </c>
      <c r="K42" s="3" t="s">
        <v>145</v>
      </c>
      <c r="L42" s="7" t="n">
        <v>7260</v>
      </c>
      <c r="M42" s="3"/>
      <c r="N42" s="7"/>
      <c r="O42" s="3"/>
    </row>
    <row r="43" customFormat="false" ht="15" hidden="false" customHeight="false" outlineLevel="0" collapsed="false">
      <c r="A43" s="3" t="n">
        <v>2002</v>
      </c>
      <c r="B43" s="3" t="s">
        <v>147</v>
      </c>
      <c r="C43" s="6" t="n">
        <v>5.951</v>
      </c>
      <c r="D43" s="6" t="n">
        <f aca="false">C43+$H$3</f>
        <v>5.994</v>
      </c>
      <c r="E43" s="3" t="s">
        <v>148</v>
      </c>
      <c r="F43" s="6" t="n">
        <v>6.044</v>
      </c>
      <c r="G43" s="3" t="s">
        <v>149</v>
      </c>
      <c r="H43" s="6" t="n">
        <v>0.39</v>
      </c>
      <c r="I43" s="3" t="s">
        <v>150</v>
      </c>
      <c r="J43" s="7" t="n">
        <v>11000</v>
      </c>
      <c r="K43" s="3" t="s">
        <v>148</v>
      </c>
      <c r="L43" s="7" t="n">
        <v>11300</v>
      </c>
      <c r="M43" s="3"/>
      <c r="N43" s="7"/>
      <c r="O43" s="3"/>
    </row>
    <row r="44" customFormat="false" ht="15" hidden="false" customHeight="false" outlineLevel="0" collapsed="false">
      <c r="A44" s="3" t="n">
        <v>2003</v>
      </c>
      <c r="B44" s="3" t="s">
        <v>151</v>
      </c>
      <c r="C44" s="6" t="n">
        <v>4.357</v>
      </c>
      <c r="D44" s="6" t="n">
        <f aca="false">C44+$H$3</f>
        <v>4.4</v>
      </c>
      <c r="E44" s="3" t="s">
        <v>152</v>
      </c>
      <c r="F44" s="6" t="n">
        <v>4.456</v>
      </c>
      <c r="G44" s="3" t="s">
        <v>153</v>
      </c>
      <c r="H44" s="6" t="n">
        <v>0.52</v>
      </c>
      <c r="I44" s="3" t="s">
        <v>151</v>
      </c>
      <c r="J44" s="7" t="n">
        <v>7770</v>
      </c>
      <c r="K44" s="3" t="s">
        <v>152</v>
      </c>
      <c r="L44" s="7" t="n">
        <v>7940</v>
      </c>
      <c r="M44" s="3"/>
      <c r="N44" s="7"/>
      <c r="O44" s="3"/>
    </row>
    <row r="45" customFormat="false" ht="15" hidden="false" customHeight="false" outlineLevel="0" collapsed="false">
      <c r="A45" s="3" t="n">
        <v>2004</v>
      </c>
      <c r="B45" s="3" t="s">
        <v>154</v>
      </c>
      <c r="C45" s="6" t="n">
        <v>3.749</v>
      </c>
      <c r="D45" s="6" t="n">
        <f aca="false">C45+$H$3</f>
        <v>3.792</v>
      </c>
      <c r="E45" s="3" t="s">
        <v>155</v>
      </c>
      <c r="F45" s="6" t="n">
        <v>3.86</v>
      </c>
      <c r="G45" s="3" t="s">
        <v>156</v>
      </c>
      <c r="H45" s="6" t="n">
        <v>0.522</v>
      </c>
      <c r="I45" s="3" t="s">
        <v>154</v>
      </c>
      <c r="J45" s="7" t="n">
        <v>6810</v>
      </c>
      <c r="K45" s="3" t="s">
        <v>155</v>
      </c>
      <c r="L45" s="7" t="n">
        <v>6970</v>
      </c>
      <c r="M45" s="3"/>
      <c r="N45" s="7"/>
      <c r="O45" s="3"/>
    </row>
    <row r="46" customFormat="false" ht="15" hidden="false" customHeight="false" outlineLevel="0" collapsed="false">
      <c r="A46" s="3" t="n">
        <v>2005</v>
      </c>
      <c r="B46" s="3" t="s">
        <v>157</v>
      </c>
      <c r="C46" s="6" t="n">
        <v>4.234</v>
      </c>
      <c r="D46" s="6" t="n">
        <f aca="false">C46+$H$3</f>
        <v>4.277</v>
      </c>
      <c r="E46" s="3" t="s">
        <v>158</v>
      </c>
      <c r="F46" s="6" t="n">
        <v>4.329</v>
      </c>
      <c r="G46" s="3" t="s">
        <v>159</v>
      </c>
      <c r="H46" s="6" t="n">
        <v>0.551</v>
      </c>
      <c r="I46" s="3" t="s">
        <v>157</v>
      </c>
      <c r="J46" s="7" t="n">
        <v>7560</v>
      </c>
      <c r="K46" s="3" t="s">
        <v>158</v>
      </c>
      <c r="L46" s="7" t="n">
        <v>7720</v>
      </c>
      <c r="M46" s="3"/>
      <c r="N46" s="7"/>
      <c r="O46" s="3"/>
    </row>
    <row r="47" customFormat="false" ht="15" hidden="false" customHeight="false" outlineLevel="0" collapsed="false">
      <c r="A47" s="3" t="n">
        <v>2006</v>
      </c>
      <c r="B47" s="3" t="s">
        <v>160</v>
      </c>
      <c r="C47" s="6" t="n">
        <v>4.598</v>
      </c>
      <c r="D47" s="6" t="n">
        <f aca="false">C47+$H$3</f>
        <v>4.641</v>
      </c>
      <c r="E47" s="3" t="s">
        <v>161</v>
      </c>
      <c r="F47" s="6" t="n">
        <v>4.699</v>
      </c>
      <c r="G47" s="3" t="s">
        <v>162</v>
      </c>
      <c r="H47" s="6" t="n">
        <v>0.448</v>
      </c>
      <c r="I47" s="3" t="s">
        <v>160</v>
      </c>
      <c r="J47" s="7" t="n">
        <v>8800</v>
      </c>
      <c r="K47" s="3" t="s">
        <v>161</v>
      </c>
      <c r="L47" s="7" t="n">
        <v>9000</v>
      </c>
      <c r="M47" s="3"/>
      <c r="N47" s="7"/>
      <c r="O47" s="3"/>
    </row>
    <row r="48" customFormat="false" ht="15" hidden="false" customHeight="false" outlineLevel="0" collapsed="false">
      <c r="A48" s="3" t="n">
        <v>2007</v>
      </c>
      <c r="B48" s="3" t="s">
        <v>163</v>
      </c>
      <c r="C48" s="6" t="n">
        <v>5.938</v>
      </c>
      <c r="D48" s="6" t="n">
        <f aca="false">C48+$H$3</f>
        <v>5.981</v>
      </c>
      <c r="E48" s="3" t="s">
        <v>164</v>
      </c>
      <c r="F48" s="6" t="n">
        <v>6.035</v>
      </c>
      <c r="G48" s="3" t="s">
        <v>165</v>
      </c>
      <c r="H48" s="6" t="n">
        <v>0.64</v>
      </c>
      <c r="I48" s="3" t="s">
        <v>166</v>
      </c>
      <c r="J48" s="7" t="n">
        <v>11800</v>
      </c>
      <c r="K48" s="3" t="s">
        <v>164</v>
      </c>
      <c r="L48" s="7" t="n">
        <v>12100</v>
      </c>
      <c r="M48" s="3"/>
      <c r="N48" s="7"/>
      <c r="O48" s="3"/>
    </row>
    <row r="49" customFormat="false" ht="15" hidden="false" customHeight="false" outlineLevel="0" collapsed="false">
      <c r="A49" s="3" t="n">
        <v>2008</v>
      </c>
      <c r="B49" s="3" t="s">
        <v>167</v>
      </c>
      <c r="C49" s="6" t="n">
        <v>5.623</v>
      </c>
      <c r="D49" s="6" t="n">
        <f aca="false">C49+$H$3</f>
        <v>5.666</v>
      </c>
      <c r="E49" s="3" t="s">
        <v>168</v>
      </c>
      <c r="F49" s="6" t="n">
        <v>5.69</v>
      </c>
      <c r="G49" s="3" t="s">
        <v>169</v>
      </c>
      <c r="H49" s="6" t="n">
        <v>0.433</v>
      </c>
      <c r="I49" s="3" t="s">
        <v>167</v>
      </c>
      <c r="J49" s="7" t="n">
        <v>10900</v>
      </c>
      <c r="K49" s="3" t="s">
        <v>168</v>
      </c>
      <c r="L49" s="7" t="n">
        <v>11100</v>
      </c>
      <c r="M49" s="3"/>
      <c r="N49" s="7"/>
      <c r="O49" s="3"/>
    </row>
    <row r="50" customFormat="false" ht="15" hidden="false" customHeight="false" outlineLevel="0" collapsed="false">
      <c r="A50" s="3" t="n">
        <v>2009</v>
      </c>
      <c r="B50" s="3" t="s">
        <v>170</v>
      </c>
      <c r="C50" s="6" t="n">
        <v>4.587</v>
      </c>
      <c r="D50" s="6" t="n">
        <f aca="false">C50+$H$3</f>
        <v>4.63</v>
      </c>
      <c r="E50" s="3" t="s">
        <v>171</v>
      </c>
      <c r="F50" s="6" t="n">
        <v>4.653</v>
      </c>
      <c r="G50" s="3" t="s">
        <v>172</v>
      </c>
      <c r="H50" s="6" t="n">
        <v>0.399</v>
      </c>
      <c r="I50" s="3" t="s">
        <v>170</v>
      </c>
      <c r="J50" s="7" t="n">
        <v>8770</v>
      </c>
      <c r="K50" s="3" t="s">
        <v>171</v>
      </c>
      <c r="L50" s="7" t="n">
        <v>8910</v>
      </c>
      <c r="M50" s="3"/>
      <c r="N50" s="7"/>
      <c r="O50" s="3"/>
    </row>
    <row r="51" customFormat="false" ht="15" hidden="false" customHeight="false" outlineLevel="0" collapsed="false">
      <c r="A51" s="3" t="n">
        <v>2010</v>
      </c>
      <c r="B51" s="3" t="s">
        <v>173</v>
      </c>
      <c r="C51" s="6" t="n">
        <v>3.874</v>
      </c>
      <c r="D51" s="6" t="n">
        <f aca="false">C51+$H$3</f>
        <v>3.917</v>
      </c>
      <c r="E51" s="3" t="s">
        <v>174</v>
      </c>
      <c r="F51" s="6" t="n">
        <v>3.956</v>
      </c>
      <c r="G51" s="3"/>
      <c r="H51" s="6"/>
      <c r="I51" s="3" t="s">
        <v>173</v>
      </c>
      <c r="J51" s="7" t="n">
        <v>7490</v>
      </c>
      <c r="K51" s="3" t="s">
        <v>174</v>
      </c>
      <c r="L51" s="7" t="n">
        <v>7620</v>
      </c>
      <c r="M51" s="3"/>
      <c r="N51" s="7"/>
      <c r="O51" s="3"/>
    </row>
    <row r="52" customFormat="false" ht="15" hidden="false" customHeight="false" outlineLevel="0" collapsed="false">
      <c r="A52" s="3" t="n">
        <v>2011</v>
      </c>
      <c r="B52" s="3" t="s">
        <v>175</v>
      </c>
      <c r="C52" s="6" t="n">
        <v>5.766</v>
      </c>
      <c r="D52" s="6" t="n">
        <f aca="false">C52+$H$3</f>
        <v>5.809</v>
      </c>
      <c r="E52" s="3" t="s">
        <v>176</v>
      </c>
      <c r="F52" s="6" t="n">
        <v>5.844</v>
      </c>
      <c r="G52" s="3" t="s">
        <v>177</v>
      </c>
      <c r="H52" s="6" t="n">
        <v>0.537</v>
      </c>
      <c r="I52" s="3" t="s">
        <v>175</v>
      </c>
      <c r="J52" s="7" t="n">
        <v>11300</v>
      </c>
      <c r="K52" s="3" t="s">
        <v>176</v>
      </c>
      <c r="L52" s="7" t="n">
        <v>11600</v>
      </c>
      <c r="M52" s="3"/>
      <c r="N52" s="7"/>
      <c r="O52" s="3"/>
    </row>
    <row r="53" customFormat="false" ht="15" hidden="false" customHeight="false" outlineLevel="0" collapsed="false">
      <c r="A53" s="3" t="n">
        <v>2012</v>
      </c>
      <c r="B53" s="3" t="s">
        <v>178</v>
      </c>
      <c r="C53" s="6" t="n">
        <v>6.326</v>
      </c>
      <c r="D53" s="6" t="n">
        <f aca="false">C53+$H$3</f>
        <v>6.369</v>
      </c>
      <c r="E53" s="3" t="s">
        <v>179</v>
      </c>
      <c r="F53" s="6" t="n">
        <v>6.375</v>
      </c>
      <c r="G53" s="3" t="s">
        <v>180</v>
      </c>
      <c r="H53" s="6" t="n">
        <v>0.545</v>
      </c>
      <c r="I53" s="3" t="s">
        <v>178</v>
      </c>
      <c r="J53" s="7" t="n">
        <v>12700</v>
      </c>
      <c r="K53" s="3" t="s">
        <v>179</v>
      </c>
      <c r="L53" s="7" t="n">
        <v>12800</v>
      </c>
      <c r="M53" s="3"/>
      <c r="N53" s="7"/>
      <c r="O53" s="3"/>
    </row>
    <row r="54" customFormat="false" ht="15" hidden="false" customHeight="false" outlineLevel="0" collapsed="false">
      <c r="A54" s="3" t="n">
        <v>2013</v>
      </c>
      <c r="B54" s="3" t="s">
        <v>181</v>
      </c>
      <c r="C54" s="6" t="n">
        <v>5.561</v>
      </c>
      <c r="D54" s="6" t="n">
        <f aca="false">C54+$H$3</f>
        <v>5.604</v>
      </c>
      <c r="E54" s="3" t="s">
        <v>182</v>
      </c>
      <c r="F54" s="6" t="n">
        <v>5.596</v>
      </c>
      <c r="G54" s="3" t="s">
        <v>183</v>
      </c>
      <c r="H54" s="6" t="n">
        <v>0.352</v>
      </c>
      <c r="I54" s="3" t="s">
        <v>181</v>
      </c>
      <c r="J54" s="7" t="n">
        <v>10800</v>
      </c>
      <c r="K54" s="3" t="s">
        <v>182</v>
      </c>
      <c r="L54" s="7" t="n">
        <v>10900</v>
      </c>
      <c r="M54" s="3"/>
      <c r="N54" s="7"/>
      <c r="O54" s="3"/>
    </row>
    <row r="55" customFormat="false" ht="15" hidden="false" customHeight="false" outlineLevel="0" collapsed="false">
      <c r="A55" s="3" t="n">
        <v>2014</v>
      </c>
      <c r="B55" s="3" t="s">
        <v>184</v>
      </c>
      <c r="C55" s="6" t="n">
        <v>5.501</v>
      </c>
      <c r="D55" s="6" t="n">
        <f aca="false">C55+$H$3</f>
        <v>5.544</v>
      </c>
      <c r="E55" s="3" t="s">
        <v>185</v>
      </c>
      <c r="F55" s="6" t="n">
        <v>5.585</v>
      </c>
      <c r="G55" s="3" t="s">
        <v>186</v>
      </c>
      <c r="H55" s="6" t="n">
        <v>0.412</v>
      </c>
      <c r="I55" s="3" t="s">
        <v>184</v>
      </c>
      <c r="J55" s="7" t="n">
        <v>10700</v>
      </c>
      <c r="K55" s="3" t="s">
        <v>185</v>
      </c>
      <c r="L55" s="7" t="n">
        <v>10900</v>
      </c>
      <c r="M55" s="3"/>
      <c r="N55" s="7"/>
      <c r="O55" s="3"/>
    </row>
    <row r="56" customFormat="false" ht="15" hidden="false" customHeight="false" outlineLevel="0" collapsed="false">
      <c r="A56" s="3" t="n">
        <v>2015</v>
      </c>
      <c r="B56" s="3" t="s">
        <v>187</v>
      </c>
      <c r="C56" s="6" t="n">
        <v>4.595</v>
      </c>
      <c r="D56" s="6" t="n">
        <f aca="false">C56+$H$3</f>
        <v>4.638</v>
      </c>
      <c r="E56" s="3" t="s">
        <v>188</v>
      </c>
      <c r="F56" s="6" t="n">
        <v>4.665</v>
      </c>
      <c r="G56" s="3" t="s">
        <v>189</v>
      </c>
      <c r="H56" s="6" t="n">
        <v>0.631</v>
      </c>
      <c r="I56" s="3" t="s">
        <v>187</v>
      </c>
      <c r="J56" s="7" t="n">
        <v>8770</v>
      </c>
      <c r="K56" s="3" t="s">
        <v>188</v>
      </c>
      <c r="L56" s="7" t="n">
        <v>8910</v>
      </c>
      <c r="M56" s="3"/>
      <c r="N56" s="7"/>
      <c r="O56" s="3"/>
    </row>
    <row r="57" customFormat="false" ht="15" hidden="false" customHeight="false" outlineLevel="0" collapsed="false">
      <c r="A57" s="3" t="n">
        <v>2016</v>
      </c>
      <c r="B57" s="3" t="s">
        <v>190</v>
      </c>
      <c r="C57" s="6" t="n">
        <v>3.602</v>
      </c>
      <c r="D57" s="6" t="n">
        <f aca="false">C57+$H$3</f>
        <v>3.645</v>
      </c>
      <c r="E57" s="3" t="s">
        <v>191</v>
      </c>
      <c r="F57" s="6" t="n">
        <v>3.723</v>
      </c>
      <c r="G57" s="3" t="s">
        <v>192</v>
      </c>
      <c r="H57" s="6" t="n">
        <v>0.604</v>
      </c>
      <c r="I57" s="3" t="s">
        <v>190</v>
      </c>
      <c r="J57" s="7" t="n">
        <v>6930</v>
      </c>
      <c r="K57" s="3" t="s">
        <v>191</v>
      </c>
      <c r="L57" s="7" t="n">
        <v>7140</v>
      </c>
      <c r="M57" s="3"/>
      <c r="N57" s="7"/>
      <c r="O57" s="3"/>
    </row>
    <row r="58" customFormat="false" ht="15" hidden="false" customHeight="false" outlineLevel="0" collapsed="false">
      <c r="A58" s="3" t="n">
        <v>2017</v>
      </c>
      <c r="B58" s="3" t="s">
        <v>193</v>
      </c>
      <c r="C58" s="6" t="n">
        <v>5.586</v>
      </c>
      <c r="D58" s="6" t="n">
        <f aca="false">C58+$H$3</f>
        <v>5.629</v>
      </c>
      <c r="E58" s="3" t="s">
        <v>194</v>
      </c>
      <c r="F58" s="6" t="n">
        <v>5.651</v>
      </c>
      <c r="G58" s="3"/>
      <c r="H58" s="6"/>
      <c r="I58" s="3" t="s">
        <v>195</v>
      </c>
      <c r="J58" s="7" t="n">
        <v>10900</v>
      </c>
      <c r="K58" s="3" t="s">
        <v>194</v>
      </c>
      <c r="L58" s="7" t="n">
        <v>11000</v>
      </c>
      <c r="M58" s="3"/>
      <c r="N58" s="7"/>
      <c r="O58" s="3"/>
    </row>
    <row r="59" customFormat="false" ht="15" hidden="false" customHeight="false" outlineLevel="0" collapsed="false">
      <c r="A59" s="3" t="n">
        <v>2018</v>
      </c>
      <c r="B59" s="3" t="s">
        <v>196</v>
      </c>
      <c r="C59" s="6" t="n">
        <v>5.918</v>
      </c>
      <c r="D59" s="6" t="n">
        <f aca="false">C59+$H$3</f>
        <v>5.961</v>
      </c>
      <c r="E59" s="3" t="s">
        <v>197</v>
      </c>
      <c r="F59" s="6" t="n">
        <v>5.988</v>
      </c>
      <c r="G59" s="3"/>
      <c r="H59" s="6"/>
      <c r="I59" s="3" t="s">
        <v>196</v>
      </c>
      <c r="J59" s="7" t="n">
        <v>11700</v>
      </c>
      <c r="K59" s="3" t="s">
        <v>197</v>
      </c>
      <c r="L59" s="7" t="n">
        <v>11800</v>
      </c>
      <c r="M59" s="3"/>
      <c r="N59" s="7"/>
      <c r="O59" s="3"/>
    </row>
    <row r="60" customFormat="false" ht="15" hidden="false" customHeight="false" outlineLevel="0" collapsed="false">
      <c r="A60" s="3" t="n">
        <v>2019</v>
      </c>
      <c r="B60" s="3" t="s">
        <v>198</v>
      </c>
      <c r="C60" s="6" t="n">
        <v>4.334</v>
      </c>
      <c r="D60" s="6" t="n">
        <f aca="false">C60+$H$3</f>
        <v>4.377</v>
      </c>
      <c r="E60" s="3" t="s">
        <v>199</v>
      </c>
      <c r="F60" s="6" t="n">
        <v>4.419</v>
      </c>
      <c r="G60" s="3"/>
      <c r="H60" s="6"/>
      <c r="I60" s="3" t="s">
        <v>198</v>
      </c>
      <c r="J60" s="7" t="n">
        <v>8260</v>
      </c>
      <c r="K60" s="3" t="s">
        <v>199</v>
      </c>
      <c r="L60" s="7" t="n">
        <v>8420</v>
      </c>
      <c r="M60" s="3"/>
      <c r="N60" s="7"/>
      <c r="O60" s="3"/>
    </row>
    <row r="61" customFormat="false" ht="15" hidden="false" customHeight="false" outlineLevel="0" collapsed="false">
      <c r="A61" s="3" t="n">
        <v>2020</v>
      </c>
      <c r="B61" s="3" t="s">
        <v>200</v>
      </c>
      <c r="C61" s="6" t="n">
        <v>5.824</v>
      </c>
      <c r="D61" s="6" t="n">
        <f aca="false">C61+$H$3</f>
        <v>5.867</v>
      </c>
      <c r="E61" s="3" t="s">
        <v>201</v>
      </c>
      <c r="F61" s="6" t="n">
        <v>5.907</v>
      </c>
      <c r="G61" s="3" t="s">
        <v>202</v>
      </c>
      <c r="H61" s="6" t="n">
        <v>0.518</v>
      </c>
      <c r="I61" s="3" t="s">
        <v>200</v>
      </c>
      <c r="J61" s="7" t="n">
        <v>11400</v>
      </c>
      <c r="K61" s="3" t="s">
        <v>201</v>
      </c>
      <c r="L61" s="7" t="n">
        <v>11600</v>
      </c>
      <c r="M61" s="3"/>
      <c r="N61" s="7"/>
      <c r="O61" s="3"/>
    </row>
    <row r="62" customFormat="false" ht="15" hidden="false" customHeight="false" outlineLevel="0" collapsed="false">
      <c r="A62" s="3" t="n">
        <v>2021</v>
      </c>
      <c r="B62" s="3" t="s">
        <v>203</v>
      </c>
      <c r="C62" s="6" t="n">
        <v>5.41</v>
      </c>
      <c r="D62" s="6" t="n">
        <f aca="false">C62+$H$3</f>
        <v>5.453</v>
      </c>
      <c r="E62" s="3" t="s">
        <v>204</v>
      </c>
      <c r="F62" s="6" t="n">
        <v>5.539</v>
      </c>
      <c r="G62" s="3"/>
      <c r="H62" s="6"/>
      <c r="I62" s="3" t="s">
        <v>203</v>
      </c>
      <c r="J62" s="7" t="n">
        <v>10500</v>
      </c>
      <c r="K62" s="3" t="s">
        <v>204</v>
      </c>
      <c r="L62" s="7" t="n">
        <v>10800</v>
      </c>
      <c r="M62" s="3"/>
      <c r="N62" s="7"/>
      <c r="O62" s="3"/>
    </row>
    <row r="63" customFormat="false" ht="15" hidden="false" customHeight="false" outlineLevel="0" collapsed="false">
      <c r="A63" s="3" t="n">
        <v>2022</v>
      </c>
      <c r="B63" s="3" t="s">
        <v>205</v>
      </c>
      <c r="C63" s="6" t="n">
        <v>5.824</v>
      </c>
      <c r="D63" s="6" t="n">
        <f aca="false">C63+$H$3</f>
        <v>5.867</v>
      </c>
      <c r="E63" s="3" t="s">
        <v>206</v>
      </c>
      <c r="F63" s="6" t="n">
        <v>5.873</v>
      </c>
      <c r="G63" s="3"/>
      <c r="H63" s="6"/>
      <c r="I63" s="3" t="s">
        <v>205</v>
      </c>
      <c r="J63" s="7" t="n">
        <v>11400</v>
      </c>
      <c r="K63" s="3" t="s">
        <v>206</v>
      </c>
      <c r="L63" s="7" t="n">
        <v>11600</v>
      </c>
      <c r="M63" s="3"/>
      <c r="N63" s="7"/>
      <c r="O63" s="3"/>
    </row>
    <row r="64" customFormat="false" ht="15" hidden="false" customHeight="false" outlineLevel="0" collapsed="false">
      <c r="A64" s="3" t="n">
        <v>2023</v>
      </c>
      <c r="B64" s="3" t="s">
        <v>207</v>
      </c>
      <c r="C64" s="6" t="n">
        <v>5.431</v>
      </c>
      <c r="D64" s="6" t="n">
        <f aca="false">C64+$H$3</f>
        <v>5.474</v>
      </c>
      <c r="E64" s="3" t="s">
        <v>208</v>
      </c>
      <c r="F64" s="6" t="n">
        <v>5.533</v>
      </c>
      <c r="G64" s="3"/>
      <c r="H64" s="6"/>
      <c r="I64" s="3" t="s">
        <v>209</v>
      </c>
      <c r="J64" s="7" t="n">
        <v>10500</v>
      </c>
      <c r="K64" s="3" t="s">
        <v>208</v>
      </c>
      <c r="L64" s="7" t="n">
        <v>10800</v>
      </c>
      <c r="M64" s="3"/>
      <c r="N64" s="7"/>
      <c r="O64" s="3"/>
    </row>
    <row r="65" customFormat="false" ht="15" hidden="false" customHeight="false" outlineLevel="0" collapsed="false">
      <c r="A65" s="3" t="n">
        <v>2024</v>
      </c>
      <c r="B65" s="3" t="s">
        <v>210</v>
      </c>
      <c r="C65" s="6" t="n">
        <v>2.935</v>
      </c>
      <c r="D65" s="6" t="n">
        <f aca="false">C65+$H$3</f>
        <v>2.978</v>
      </c>
      <c r="E65" s="3" t="s">
        <v>211</v>
      </c>
      <c r="F65" s="6" t="n">
        <v>3.077</v>
      </c>
      <c r="G65" s="3" t="s">
        <v>212</v>
      </c>
      <c r="H65" s="6" t="n">
        <v>0.529</v>
      </c>
      <c r="I65" s="3"/>
      <c r="J65" s="7"/>
      <c r="K65" s="3" t="s">
        <v>211</v>
      </c>
      <c r="L65" s="7" t="n">
        <v>6070</v>
      </c>
      <c r="M65" s="3"/>
      <c r="N65" s="7"/>
      <c r="O65" s="3"/>
    </row>
    <row r="66" customFormat="false" ht="15" hidden="false" customHeight="false" outlineLevel="0" collapsed="false">
      <c r="A66" s="3" t="n">
        <v>2025</v>
      </c>
      <c r="B66" s="3" t="s">
        <v>213</v>
      </c>
      <c r="C66" s="6" t="n">
        <v>3.898</v>
      </c>
      <c r="D66" s="6" t="n">
        <f aca="false">C66+$H$3</f>
        <v>3.941</v>
      </c>
      <c r="E66" s="3" t="s">
        <v>214</v>
      </c>
      <c r="F66" s="6" t="n">
        <v>4.003</v>
      </c>
      <c r="G66" s="3" t="s">
        <v>215</v>
      </c>
      <c r="H66" s="6" t="n">
        <v>0.506</v>
      </c>
      <c r="I66" s="3" t="s">
        <v>213</v>
      </c>
      <c r="J66" s="7" t="n">
        <v>7450</v>
      </c>
      <c r="K66" s="3" t="s">
        <v>214</v>
      </c>
      <c r="L66" s="7" t="n">
        <v>7640</v>
      </c>
      <c r="M66" s="3"/>
      <c r="N66" s="7"/>
      <c r="O66" s="3"/>
    </row>
    <row r="68" customFormat="false" ht="15" hidden="false" customHeight="false" outlineLevel="0" collapsed="false">
      <c r="A68" s="2" t="s">
        <v>216</v>
      </c>
    </row>
    <row r="69" customFormat="false" ht="15" hidden="false" customHeight="false" outlineLevel="0" collapsed="false">
      <c r="A69" s="2"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12"/>
    <col collapsed="false" customWidth="true" hidden="false" outlineLevel="0" max="4" min="4" style="0" width="19"/>
    <col collapsed="false" customWidth="true" hidden="false" outlineLevel="0" max="6" min="5" style="0" width="13"/>
    <col collapsed="false" customWidth="true" hidden="false" outlineLevel="0" max="7" min="7" style="0" width="12"/>
    <col collapsed="false" customWidth="true" hidden="false" outlineLevel="0" max="8" min="8" style="0" width="19"/>
    <col collapsed="false" customWidth="true" hidden="false" outlineLevel="0" max="9" min="9" style="0" width="13"/>
    <col collapsed="false" customWidth="true" hidden="false" outlineLevel="0" max="10" min="10" style="0" width="11"/>
    <col collapsed="false" customWidth="true" hidden="false" outlineLevel="0" max="11" min="11" style="0" width="16"/>
  </cols>
  <sheetData>
    <row r="1" customFormat="false" ht="16.15" hidden="false" customHeight="false" outlineLevel="0" collapsed="false">
      <c r="A1" s="1" t="s">
        <v>218</v>
      </c>
    </row>
    <row r="2" customFormat="false" ht="15" hidden="false" customHeight="false" outlineLevel="0" collapsed="false">
      <c r="A2" s="2" t="s">
        <v>219</v>
      </c>
    </row>
    <row r="3" customFormat="false" ht="15" hidden="false" customHeight="false" outlineLevel="0" collapsed="false">
      <c r="A3" s="3" t="s">
        <v>220</v>
      </c>
      <c r="F3" s="4" t="n">
        <v>0.148</v>
      </c>
    </row>
    <row r="5" customFormat="false" ht="48" hidden="false" customHeight="true" outlineLevel="0" collapsed="false">
      <c r="A5" s="5" t="s">
        <v>3</v>
      </c>
      <c r="B5" s="5" t="s">
        <v>4</v>
      </c>
      <c r="C5" s="5" t="s">
        <v>6</v>
      </c>
      <c r="D5" s="5" t="s">
        <v>7</v>
      </c>
      <c r="E5" s="5" t="s">
        <v>221</v>
      </c>
      <c r="F5" s="5" t="s">
        <v>9</v>
      </c>
      <c r="G5" s="5" t="s">
        <v>222</v>
      </c>
      <c r="H5" s="5" t="s">
        <v>223</v>
      </c>
      <c r="I5" s="5" t="s">
        <v>224</v>
      </c>
      <c r="J5" s="5" t="s">
        <v>225</v>
      </c>
      <c r="K5" s="5" t="s">
        <v>17</v>
      </c>
    </row>
    <row r="6" customFormat="false" ht="15" hidden="false" customHeight="false" outlineLevel="0" collapsed="false">
      <c r="A6" s="3" t="n">
        <v>1933</v>
      </c>
      <c r="B6" s="3" t="s">
        <v>226</v>
      </c>
      <c r="C6" s="6" t="n">
        <v>11.826</v>
      </c>
      <c r="D6" s="3"/>
      <c r="E6" s="6"/>
      <c r="F6" s="3"/>
      <c r="G6" s="6"/>
      <c r="H6" s="3"/>
      <c r="I6" s="6"/>
      <c r="J6" s="6"/>
      <c r="K6" s="3"/>
    </row>
    <row r="7" customFormat="false" ht="15" hidden="false" customHeight="false" outlineLevel="0" collapsed="false">
      <c r="A7" s="3" t="n">
        <v>1934</v>
      </c>
      <c r="B7" s="3" t="s">
        <v>227</v>
      </c>
      <c r="C7" s="6" t="n">
        <v>11.47</v>
      </c>
      <c r="D7" s="3"/>
      <c r="E7" s="6"/>
      <c r="F7" s="3" t="s">
        <v>228</v>
      </c>
      <c r="G7" s="6" t="n">
        <v>9.235</v>
      </c>
      <c r="H7" s="3"/>
      <c r="I7" s="6"/>
      <c r="J7" s="6" t="n">
        <f aca="false">C7-G7</f>
        <v>2.235</v>
      </c>
      <c r="K7" s="3"/>
    </row>
    <row r="8" customFormat="false" ht="15" hidden="false" customHeight="false" outlineLevel="0" collapsed="false">
      <c r="A8" s="3" t="n">
        <v>1935</v>
      </c>
      <c r="B8" s="3" t="s">
        <v>229</v>
      </c>
      <c r="C8" s="6" t="n">
        <v>11.393</v>
      </c>
      <c r="D8" s="3"/>
      <c r="E8" s="6"/>
      <c r="F8" s="3" t="s">
        <v>230</v>
      </c>
      <c r="G8" s="6" t="n">
        <v>9.135</v>
      </c>
      <c r="H8" s="3"/>
      <c r="I8" s="6"/>
      <c r="J8" s="6" t="n">
        <f aca="false">C8-G8</f>
        <v>2.258</v>
      </c>
      <c r="K8" s="3"/>
    </row>
    <row r="9" customFormat="false" ht="15" hidden="false" customHeight="false" outlineLevel="0" collapsed="false">
      <c r="A9" s="3" t="n">
        <v>1936</v>
      </c>
      <c r="B9" s="3" t="s">
        <v>231</v>
      </c>
      <c r="C9" s="6" t="n">
        <v>12.308</v>
      </c>
      <c r="D9" s="3"/>
      <c r="E9" s="6"/>
      <c r="F9" s="3" t="s">
        <v>232</v>
      </c>
      <c r="G9" s="6" t="n">
        <v>8.702</v>
      </c>
      <c r="H9" s="3"/>
      <c r="I9" s="6"/>
      <c r="J9" s="6" t="n">
        <f aca="false">C9-G9</f>
        <v>3.606</v>
      </c>
      <c r="K9" s="3"/>
    </row>
    <row r="10" customFormat="false" ht="15" hidden="false" customHeight="false" outlineLevel="0" collapsed="false">
      <c r="A10" s="3" t="n">
        <v>1937</v>
      </c>
      <c r="B10" s="3" t="s">
        <v>233</v>
      </c>
      <c r="C10" s="6" t="n">
        <v>11.521</v>
      </c>
      <c r="D10" s="3"/>
      <c r="E10" s="6"/>
      <c r="F10" s="3" t="s">
        <v>234</v>
      </c>
      <c r="G10" s="6" t="n">
        <v>8.626</v>
      </c>
      <c r="H10" s="3"/>
      <c r="I10" s="6"/>
      <c r="J10" s="6" t="n">
        <f aca="false">C10-G10</f>
        <v>2.895</v>
      </c>
      <c r="K10" s="3"/>
    </row>
    <row r="11" customFormat="false" ht="15" hidden="false" customHeight="false" outlineLevel="0" collapsed="false">
      <c r="A11" s="3" t="n">
        <v>1938</v>
      </c>
      <c r="B11" s="3" t="s">
        <v>235</v>
      </c>
      <c r="C11" s="6" t="n">
        <v>11.521</v>
      </c>
      <c r="D11" s="3"/>
      <c r="E11" s="6"/>
      <c r="F11" s="3" t="s">
        <v>236</v>
      </c>
      <c r="G11" s="6" t="n">
        <v>8.83</v>
      </c>
      <c r="H11" s="3"/>
      <c r="I11" s="6"/>
      <c r="J11" s="6" t="n">
        <f aca="false">C11-G11</f>
        <v>2.691</v>
      </c>
      <c r="K11" s="3"/>
    </row>
    <row r="12" customFormat="false" ht="15" hidden="false" customHeight="false" outlineLevel="0" collapsed="false">
      <c r="A12" s="3" t="n">
        <v>1939</v>
      </c>
      <c r="B12" s="3" t="s">
        <v>237</v>
      </c>
      <c r="C12" s="6" t="n">
        <v>11.393</v>
      </c>
      <c r="D12" s="3"/>
      <c r="E12" s="6"/>
      <c r="F12" s="3" t="s">
        <v>238</v>
      </c>
      <c r="G12" s="6" t="n">
        <v>8.726</v>
      </c>
      <c r="H12" s="3"/>
      <c r="I12" s="6"/>
      <c r="J12" s="6" t="n">
        <f aca="false">C12-G12</f>
        <v>2.667</v>
      </c>
      <c r="K12" s="3"/>
    </row>
    <row r="13" customFormat="false" ht="15" hidden="false" customHeight="false" outlineLevel="0" collapsed="false">
      <c r="A13" s="3" t="n">
        <v>1940</v>
      </c>
      <c r="B13" s="3" t="s">
        <v>239</v>
      </c>
      <c r="C13" s="6" t="n">
        <v>11.268</v>
      </c>
      <c r="D13" s="3"/>
      <c r="E13" s="6"/>
      <c r="F13" s="3" t="s">
        <v>240</v>
      </c>
      <c r="G13" s="6" t="n">
        <v>9.107</v>
      </c>
      <c r="H13" s="3"/>
      <c r="I13" s="6"/>
      <c r="J13" s="6" t="n">
        <f aca="false">C13-G13</f>
        <v>2.161</v>
      </c>
      <c r="K13" s="3"/>
    </row>
    <row r="14" customFormat="false" ht="15" hidden="false" customHeight="false" outlineLevel="0" collapsed="false">
      <c r="A14" s="3" t="n">
        <v>1941</v>
      </c>
      <c r="B14" s="3" t="s">
        <v>241</v>
      </c>
      <c r="C14" s="6" t="n">
        <v>11.064</v>
      </c>
      <c r="D14" s="3"/>
      <c r="E14" s="6"/>
      <c r="F14" s="3" t="s">
        <v>242</v>
      </c>
      <c r="G14" s="6" t="n">
        <v>9.107</v>
      </c>
      <c r="H14" s="3"/>
      <c r="I14" s="6"/>
      <c r="J14" s="6" t="n">
        <f aca="false">C14-G14</f>
        <v>1.957</v>
      </c>
      <c r="K14" s="3"/>
    </row>
    <row r="15" customFormat="false" ht="15" hidden="false" customHeight="false" outlineLevel="0" collapsed="false">
      <c r="A15" s="3" t="n">
        <v>1942</v>
      </c>
      <c r="B15" s="3" t="s">
        <v>243</v>
      </c>
      <c r="C15" s="6" t="n">
        <v>11.268</v>
      </c>
      <c r="D15" s="3"/>
      <c r="E15" s="6"/>
      <c r="F15" s="3" t="s">
        <v>244</v>
      </c>
      <c r="G15" s="6" t="n">
        <v>8.803</v>
      </c>
      <c r="H15" s="3"/>
      <c r="I15" s="6"/>
      <c r="J15" s="6" t="n">
        <f aca="false">C15-G15</f>
        <v>2.465</v>
      </c>
      <c r="K15" s="3"/>
    </row>
    <row r="16" customFormat="false" ht="15" hidden="false" customHeight="false" outlineLevel="0" collapsed="false">
      <c r="A16" s="3" t="n">
        <v>1943</v>
      </c>
      <c r="B16" s="3" t="s">
        <v>245</v>
      </c>
      <c r="C16" s="6" t="n">
        <v>11.317</v>
      </c>
      <c r="D16" s="3"/>
      <c r="E16" s="6"/>
      <c r="F16" s="3" t="s">
        <v>246</v>
      </c>
      <c r="G16" s="6" t="n">
        <v>8.906</v>
      </c>
      <c r="H16" s="3"/>
      <c r="I16" s="6"/>
      <c r="J16" s="6" t="n">
        <f aca="false">C16-G16</f>
        <v>2.411</v>
      </c>
      <c r="K16" s="3"/>
    </row>
    <row r="17" customFormat="false" ht="15" hidden="false" customHeight="false" outlineLevel="0" collapsed="false">
      <c r="A17" s="3" t="n">
        <v>1944</v>
      </c>
      <c r="B17" s="3" t="s">
        <v>247</v>
      </c>
      <c r="C17" s="6" t="n">
        <v>10.811</v>
      </c>
      <c r="D17" s="3"/>
      <c r="E17" s="6"/>
      <c r="F17" s="3" t="s">
        <v>248</v>
      </c>
      <c r="G17" s="6" t="n">
        <v>8.702</v>
      </c>
      <c r="H17" s="3"/>
      <c r="I17" s="6"/>
      <c r="J17" s="6" t="n">
        <f aca="false">C17-G17</f>
        <v>2.109</v>
      </c>
      <c r="K17" s="3"/>
    </row>
    <row r="18" customFormat="false" ht="15" hidden="false" customHeight="false" outlineLevel="0" collapsed="false">
      <c r="A18" s="3" t="n">
        <v>1945</v>
      </c>
      <c r="B18" s="3" t="s">
        <v>249</v>
      </c>
      <c r="C18" s="6" t="n">
        <v>11.521</v>
      </c>
      <c r="D18" s="3"/>
      <c r="E18" s="6"/>
      <c r="F18" s="3" t="s">
        <v>250</v>
      </c>
      <c r="G18" s="6" t="n">
        <v>9.031</v>
      </c>
      <c r="H18" s="3"/>
      <c r="I18" s="6"/>
      <c r="J18" s="6" t="n">
        <f aca="false">C18-G18</f>
        <v>2.49</v>
      </c>
      <c r="K18" s="3"/>
    </row>
    <row r="19" customFormat="false" ht="15" hidden="false" customHeight="false" outlineLevel="0" collapsed="false">
      <c r="A19" s="3" t="n">
        <v>1946</v>
      </c>
      <c r="B19" s="3" t="s">
        <v>251</v>
      </c>
      <c r="C19" s="6" t="n">
        <v>11.826</v>
      </c>
      <c r="D19" s="3"/>
      <c r="E19" s="6"/>
      <c r="F19" s="3" t="s">
        <v>252</v>
      </c>
      <c r="G19" s="6" t="n">
        <v>8.726</v>
      </c>
      <c r="H19" s="3"/>
      <c r="I19" s="6"/>
      <c r="J19" s="6" t="n">
        <f aca="false">C19-G19</f>
        <v>3.1</v>
      </c>
      <c r="K19" s="3"/>
    </row>
    <row r="20" customFormat="false" ht="15" hidden="false" customHeight="false" outlineLevel="0" collapsed="false">
      <c r="A20" s="3" t="n">
        <v>1947</v>
      </c>
      <c r="B20" s="3" t="s">
        <v>253</v>
      </c>
      <c r="C20" s="6" t="n">
        <v>11.293</v>
      </c>
      <c r="D20" s="3"/>
      <c r="E20" s="6"/>
      <c r="F20" s="3" t="s">
        <v>254</v>
      </c>
      <c r="G20" s="6" t="n">
        <v>8.778</v>
      </c>
      <c r="H20" s="3"/>
      <c r="I20" s="6"/>
      <c r="J20" s="6" t="n">
        <f aca="false">C20-G20</f>
        <v>2.515</v>
      </c>
      <c r="K20" s="3"/>
    </row>
    <row r="21" customFormat="false" ht="15" hidden="false" customHeight="false" outlineLevel="0" collapsed="false">
      <c r="A21" s="3" t="n">
        <v>1948</v>
      </c>
      <c r="B21" s="3" t="s">
        <v>255</v>
      </c>
      <c r="C21" s="6" t="n">
        <v>13.298</v>
      </c>
      <c r="D21" s="3"/>
      <c r="E21" s="6"/>
      <c r="F21" s="3" t="s">
        <v>256</v>
      </c>
      <c r="G21" s="6" t="n">
        <v>8.65</v>
      </c>
      <c r="H21" s="3"/>
      <c r="I21" s="6"/>
      <c r="J21" s="6" t="n">
        <f aca="false">C21-G21</f>
        <v>4.648</v>
      </c>
      <c r="K21" s="3"/>
    </row>
    <row r="22" customFormat="false" ht="15" hidden="false" customHeight="false" outlineLevel="0" collapsed="false">
      <c r="A22" s="3" t="n">
        <v>1949</v>
      </c>
      <c r="B22" s="3" t="s">
        <v>257</v>
      </c>
      <c r="C22" s="6" t="n">
        <v>11.421</v>
      </c>
      <c r="D22" s="3"/>
      <c r="E22" s="6"/>
      <c r="F22" s="3" t="s">
        <v>258</v>
      </c>
      <c r="G22" s="6" t="n">
        <v>8.397</v>
      </c>
      <c r="H22" s="3"/>
      <c r="I22" s="6"/>
      <c r="J22" s="6" t="n">
        <f aca="false">C22-G22</f>
        <v>3.024</v>
      </c>
      <c r="K22" s="3"/>
    </row>
    <row r="23" customFormat="false" ht="15" hidden="false" customHeight="false" outlineLevel="0" collapsed="false">
      <c r="A23" s="3" t="n">
        <v>1950</v>
      </c>
      <c r="B23" s="3" t="s">
        <v>259</v>
      </c>
      <c r="C23" s="6" t="n">
        <v>13.146</v>
      </c>
      <c r="D23" s="3"/>
      <c r="E23" s="6"/>
      <c r="F23" s="3" t="s">
        <v>260</v>
      </c>
      <c r="G23" s="6" t="n">
        <v>8.702</v>
      </c>
      <c r="H23" s="3"/>
      <c r="I23" s="6"/>
      <c r="J23" s="6" t="n">
        <f aca="false">C23-G23</f>
        <v>4.444</v>
      </c>
      <c r="K23" s="3"/>
    </row>
    <row r="24" customFormat="false" ht="15" hidden="false" customHeight="false" outlineLevel="0" collapsed="false">
      <c r="A24" s="3" t="n">
        <v>1951</v>
      </c>
      <c r="B24" s="3" t="s">
        <v>261</v>
      </c>
      <c r="C24" s="6" t="n">
        <v>11.293</v>
      </c>
      <c r="D24" s="3"/>
      <c r="E24" s="6"/>
      <c r="F24" s="3" t="s">
        <v>262</v>
      </c>
      <c r="G24" s="6" t="n">
        <v>8.778</v>
      </c>
      <c r="H24" s="3"/>
      <c r="I24" s="6"/>
      <c r="J24" s="6" t="n">
        <f aca="false">C24-G24</f>
        <v>2.515</v>
      </c>
      <c r="K24" s="3"/>
    </row>
    <row r="25" customFormat="false" ht="15" hidden="false" customHeight="false" outlineLevel="0" collapsed="false">
      <c r="A25" s="3" t="n">
        <v>1952</v>
      </c>
      <c r="B25" s="3" t="s">
        <v>263</v>
      </c>
      <c r="C25" s="6" t="n">
        <v>11.305</v>
      </c>
      <c r="D25" s="3" t="s">
        <v>264</v>
      </c>
      <c r="E25" s="6" t="n">
        <v>11.329</v>
      </c>
      <c r="F25" s="3" t="s">
        <v>265</v>
      </c>
      <c r="G25" s="6" t="n">
        <v>8.428</v>
      </c>
      <c r="H25" s="3"/>
      <c r="I25" s="6"/>
      <c r="J25" s="6" t="n">
        <f aca="false">C25-G25</f>
        <v>2.877</v>
      </c>
      <c r="K25" s="3" t="s">
        <v>266</v>
      </c>
    </row>
    <row r="26" customFormat="false" ht="15" hidden="false" customHeight="false" outlineLevel="0" collapsed="false">
      <c r="A26" s="3" t="n">
        <v>1953</v>
      </c>
      <c r="B26" s="3" t="s">
        <v>267</v>
      </c>
      <c r="C26" s="6" t="n">
        <v>11.357</v>
      </c>
      <c r="D26" s="3" t="s">
        <v>268</v>
      </c>
      <c r="E26" s="6" t="n">
        <v>11.363</v>
      </c>
      <c r="F26" s="3" t="s">
        <v>269</v>
      </c>
      <c r="G26" s="6" t="n">
        <v>8.891</v>
      </c>
      <c r="H26" s="3"/>
      <c r="I26" s="6"/>
      <c r="J26" s="6" t="n">
        <f aca="false">C26-G26</f>
        <v>2.466</v>
      </c>
      <c r="K26" s="3"/>
    </row>
    <row r="27" customFormat="false" ht="15" hidden="false" customHeight="false" outlineLevel="0" collapsed="false">
      <c r="A27" s="3" t="n">
        <v>1954</v>
      </c>
      <c r="B27" s="3" t="s">
        <v>270</v>
      </c>
      <c r="C27" s="6" t="n">
        <v>11.689</v>
      </c>
      <c r="D27" s="3" t="s">
        <v>271</v>
      </c>
      <c r="E27" s="6" t="n">
        <v>11.704</v>
      </c>
      <c r="F27" s="3" t="s">
        <v>272</v>
      </c>
      <c r="G27" s="6" t="n">
        <v>8.891</v>
      </c>
      <c r="H27" s="3"/>
      <c r="I27" s="6"/>
      <c r="J27" s="6" t="n">
        <f aca="false">C27-G27</f>
        <v>2.798</v>
      </c>
      <c r="K27" s="3"/>
    </row>
    <row r="28" customFormat="false" ht="15" hidden="false" customHeight="false" outlineLevel="0" collapsed="false">
      <c r="A28" s="3" t="n">
        <v>1955</v>
      </c>
      <c r="B28" s="3" t="s">
        <v>273</v>
      </c>
      <c r="C28" s="6" t="n">
        <v>11.72</v>
      </c>
      <c r="D28" s="3" t="s">
        <v>274</v>
      </c>
      <c r="E28" s="6" t="n">
        <v>11.735</v>
      </c>
      <c r="F28" s="3" t="s">
        <v>275</v>
      </c>
      <c r="G28" s="6" t="n">
        <v>8.565</v>
      </c>
      <c r="H28" s="3"/>
      <c r="I28" s="6"/>
      <c r="J28" s="6" t="n">
        <f aca="false">C28-G28</f>
        <v>3.155</v>
      </c>
      <c r="K28" s="3"/>
    </row>
    <row r="29" customFormat="false" ht="15" hidden="false" customHeight="false" outlineLevel="0" collapsed="false">
      <c r="A29" s="3" t="n">
        <v>1956</v>
      </c>
      <c r="B29" s="3" t="s">
        <v>276</v>
      </c>
      <c r="C29" s="6" t="n">
        <v>12.213</v>
      </c>
      <c r="D29" s="3" t="s">
        <v>277</v>
      </c>
      <c r="E29" s="6" t="n">
        <v>12.241</v>
      </c>
      <c r="F29" s="3"/>
      <c r="G29" s="6"/>
      <c r="H29" s="3"/>
      <c r="I29" s="6"/>
      <c r="J29" s="6"/>
      <c r="K29" s="3"/>
    </row>
    <row r="30" customFormat="false" ht="15" hidden="false" customHeight="false" outlineLevel="0" collapsed="false">
      <c r="A30" s="3" t="n">
        <v>1957</v>
      </c>
      <c r="B30" s="3" t="s">
        <v>278</v>
      </c>
      <c r="C30" s="6" t="n">
        <v>11.445</v>
      </c>
      <c r="D30" s="3" t="s">
        <v>279</v>
      </c>
      <c r="E30" s="6" t="n">
        <v>11.448</v>
      </c>
      <c r="F30" s="3"/>
      <c r="G30" s="6"/>
      <c r="H30" s="3"/>
      <c r="I30" s="6"/>
      <c r="J30" s="6"/>
      <c r="K30" s="3"/>
    </row>
    <row r="31" customFormat="false" ht="15" hidden="false" customHeight="false" outlineLevel="0" collapsed="false">
      <c r="A31" s="3" t="n">
        <v>1958</v>
      </c>
      <c r="B31" s="3" t="s">
        <v>280</v>
      </c>
      <c r="C31" s="6" t="n">
        <v>11.969</v>
      </c>
      <c r="D31" s="3" t="s">
        <v>281</v>
      </c>
      <c r="E31" s="6" t="n">
        <v>11.994</v>
      </c>
      <c r="F31" s="3" t="s">
        <v>282</v>
      </c>
      <c r="G31" s="6" t="n">
        <v>9.019</v>
      </c>
      <c r="H31" s="3"/>
      <c r="I31" s="6"/>
      <c r="J31" s="6" t="n">
        <f aca="false">C31-G31</f>
        <v>2.95</v>
      </c>
      <c r="K31" s="3"/>
    </row>
    <row r="32" customFormat="false" ht="15" hidden="false" customHeight="false" outlineLevel="0" collapsed="false">
      <c r="A32" s="3" t="n">
        <v>1959</v>
      </c>
      <c r="B32" s="3" t="s">
        <v>283</v>
      </c>
      <c r="C32" s="6" t="n">
        <v>11.512</v>
      </c>
      <c r="D32" s="3" t="s">
        <v>284</v>
      </c>
      <c r="E32" s="6" t="n">
        <v>11.515</v>
      </c>
      <c r="F32" s="3" t="s">
        <v>285</v>
      </c>
      <c r="G32" s="6" t="n">
        <v>8.784</v>
      </c>
      <c r="H32" s="3"/>
      <c r="I32" s="6"/>
      <c r="J32" s="6" t="n">
        <f aca="false">C32-G32</f>
        <v>2.728</v>
      </c>
      <c r="K32" s="3"/>
    </row>
    <row r="33" customFormat="false" ht="15" hidden="false" customHeight="false" outlineLevel="0" collapsed="false">
      <c r="A33" s="3" t="n">
        <v>1960</v>
      </c>
      <c r="B33" s="3" t="s">
        <v>286</v>
      </c>
      <c r="C33" s="6" t="n">
        <v>11.47</v>
      </c>
      <c r="D33" s="3" t="s">
        <v>287</v>
      </c>
      <c r="E33" s="6" t="n">
        <v>11.482</v>
      </c>
      <c r="F33" s="3"/>
      <c r="G33" s="6"/>
      <c r="H33" s="3"/>
      <c r="I33" s="6"/>
      <c r="J33" s="6"/>
      <c r="K33" s="3"/>
    </row>
    <row r="34" customFormat="false" ht="15" hidden="false" customHeight="false" outlineLevel="0" collapsed="false">
      <c r="A34" s="3" t="n">
        <v>1961</v>
      </c>
      <c r="B34" s="3" t="s">
        <v>288</v>
      </c>
      <c r="C34" s="6" t="n">
        <v>12.085</v>
      </c>
      <c r="D34" s="3"/>
      <c r="E34" s="6"/>
      <c r="F34" s="3" t="s">
        <v>289</v>
      </c>
      <c r="G34" s="6" t="n">
        <v>8.839</v>
      </c>
      <c r="H34" s="3"/>
      <c r="I34" s="6"/>
      <c r="J34" s="6" t="n">
        <f aca="false">C34-G34</f>
        <v>3.246</v>
      </c>
      <c r="K34" s="3"/>
    </row>
    <row r="35" customFormat="false" ht="15" hidden="false" customHeight="false" outlineLevel="0" collapsed="false">
      <c r="A35" s="3" t="n">
        <v>1962</v>
      </c>
      <c r="B35" s="3" t="s">
        <v>290</v>
      </c>
      <c r="C35" s="6" t="n">
        <v>11.089</v>
      </c>
      <c r="D35" s="3"/>
      <c r="E35" s="6"/>
      <c r="F35" s="3" t="s">
        <v>291</v>
      </c>
      <c r="G35" s="6" t="n">
        <v>8.544</v>
      </c>
      <c r="H35" s="3"/>
      <c r="I35" s="6"/>
      <c r="J35" s="6" t="n">
        <f aca="false">C35-G35</f>
        <v>2.545</v>
      </c>
      <c r="K35" s="3"/>
    </row>
    <row r="36" customFormat="false" ht="15" hidden="false" customHeight="false" outlineLevel="0" collapsed="false">
      <c r="A36" s="3" t="n">
        <v>1963</v>
      </c>
      <c r="B36" s="3" t="s">
        <v>292</v>
      </c>
      <c r="C36" s="6" t="n">
        <v>11.14</v>
      </c>
      <c r="D36" s="3" t="s">
        <v>293</v>
      </c>
      <c r="E36" s="6" t="n">
        <v>11.156</v>
      </c>
      <c r="F36" s="3" t="s">
        <v>294</v>
      </c>
      <c r="G36" s="6" t="n">
        <v>8.772</v>
      </c>
      <c r="H36" s="3"/>
      <c r="I36" s="6"/>
      <c r="J36" s="6" t="n">
        <f aca="false">C36-G36</f>
        <v>2.368</v>
      </c>
      <c r="K36" s="3"/>
    </row>
    <row r="37" customFormat="false" ht="15" hidden="false" customHeight="false" outlineLevel="0" collapsed="false">
      <c r="A37" s="3" t="n">
        <v>1964</v>
      </c>
      <c r="B37" s="3" t="s">
        <v>295</v>
      </c>
      <c r="C37" s="6" t="n">
        <v>12.244</v>
      </c>
      <c r="D37" s="3" t="s">
        <v>296</v>
      </c>
      <c r="E37" s="6" t="n">
        <v>12.259</v>
      </c>
      <c r="F37" s="3"/>
      <c r="G37" s="6"/>
      <c r="H37" s="3"/>
      <c r="I37" s="6"/>
      <c r="J37" s="6"/>
      <c r="K37" s="3"/>
    </row>
    <row r="38" customFormat="false" ht="15" hidden="false" customHeight="false" outlineLevel="0" collapsed="false">
      <c r="A38" s="3" t="n">
        <v>1965</v>
      </c>
      <c r="B38" s="3" t="s">
        <v>297</v>
      </c>
      <c r="C38" s="6" t="n">
        <v>11.204</v>
      </c>
      <c r="D38" s="3" t="s">
        <v>298</v>
      </c>
      <c r="E38" s="6" t="n">
        <v>11.217</v>
      </c>
      <c r="F38" s="3"/>
      <c r="G38" s="6"/>
      <c r="H38" s="3"/>
      <c r="I38" s="6"/>
      <c r="J38" s="6"/>
      <c r="K38" s="3"/>
    </row>
    <row r="39" customFormat="false" ht="15" hidden="false" customHeight="false" outlineLevel="0" collapsed="false">
      <c r="A39" s="3" t="n">
        <v>1966</v>
      </c>
      <c r="B39" s="3" t="s">
        <v>299</v>
      </c>
      <c r="C39" s="6" t="n">
        <v>11.192</v>
      </c>
      <c r="D39" s="3" t="s">
        <v>300</v>
      </c>
      <c r="E39" s="6" t="n">
        <v>11.238</v>
      </c>
      <c r="F39" s="3" t="s">
        <v>301</v>
      </c>
      <c r="G39" s="6" t="n">
        <v>8.675</v>
      </c>
      <c r="H39" s="3"/>
      <c r="I39" s="6"/>
      <c r="J39" s="6" t="n">
        <f aca="false">C39-G39</f>
        <v>2.517</v>
      </c>
      <c r="K39" s="3"/>
    </row>
    <row r="40" customFormat="false" ht="15" hidden="false" customHeight="false" outlineLevel="0" collapsed="false">
      <c r="A40" s="3" t="n">
        <v>1967</v>
      </c>
      <c r="B40" s="3" t="s">
        <v>302</v>
      </c>
      <c r="C40" s="6" t="n">
        <v>12.823</v>
      </c>
      <c r="D40" s="3" t="s">
        <v>303</v>
      </c>
      <c r="E40" s="6" t="n">
        <v>12.838</v>
      </c>
      <c r="F40" s="3" t="s">
        <v>304</v>
      </c>
      <c r="G40" s="6" t="n">
        <v>8.793</v>
      </c>
      <c r="H40" s="3"/>
      <c r="I40" s="6"/>
      <c r="J40" s="6" t="n">
        <f aca="false">C40-G40</f>
        <v>4.03</v>
      </c>
      <c r="K40" s="3"/>
    </row>
    <row r="41" customFormat="false" ht="15" hidden="false" customHeight="false" outlineLevel="0" collapsed="false">
      <c r="A41" s="3" t="n">
        <v>1968</v>
      </c>
      <c r="B41" s="3" t="s">
        <v>305</v>
      </c>
      <c r="C41" s="6" t="n">
        <v>11.933</v>
      </c>
      <c r="D41" s="3" t="s">
        <v>306</v>
      </c>
      <c r="E41" s="6" t="n">
        <v>11.942</v>
      </c>
      <c r="F41" s="3"/>
      <c r="G41" s="6"/>
      <c r="H41" s="3"/>
      <c r="I41" s="6"/>
      <c r="J41" s="6"/>
      <c r="K41" s="3"/>
    </row>
    <row r="42" customFormat="false" ht="15" hidden="false" customHeight="false" outlineLevel="0" collapsed="false">
      <c r="A42" s="3" t="n">
        <v>1969</v>
      </c>
      <c r="B42" s="3" t="s">
        <v>307</v>
      </c>
      <c r="C42" s="6" t="n">
        <v>12.354</v>
      </c>
      <c r="D42" s="3" t="s">
        <v>308</v>
      </c>
      <c r="E42" s="6" t="n">
        <v>12.366</v>
      </c>
      <c r="F42" s="3"/>
      <c r="G42" s="6"/>
      <c r="H42" s="3"/>
      <c r="I42" s="6"/>
      <c r="J42" s="6"/>
      <c r="K42" s="3"/>
    </row>
    <row r="43" customFormat="false" ht="15" hidden="false" customHeight="false" outlineLevel="0" collapsed="false">
      <c r="A43" s="3" t="n">
        <v>1970</v>
      </c>
      <c r="B43" s="3" t="s">
        <v>31</v>
      </c>
      <c r="C43" s="6" t="n">
        <v>11.305</v>
      </c>
      <c r="D43" s="3" t="s">
        <v>309</v>
      </c>
      <c r="E43" s="6" t="n">
        <v>11.314</v>
      </c>
      <c r="F43" s="3" t="s">
        <v>310</v>
      </c>
      <c r="G43" s="6" t="n">
        <v>8.708</v>
      </c>
      <c r="H43" s="3"/>
      <c r="I43" s="6"/>
      <c r="J43" s="6" t="n">
        <f aca="false">C43-G43</f>
        <v>2.597</v>
      </c>
      <c r="K43" s="3"/>
    </row>
    <row r="44" customFormat="false" ht="15" hidden="false" customHeight="false" outlineLevel="0" collapsed="false">
      <c r="A44" s="3" t="n">
        <v>1971</v>
      </c>
      <c r="B44" s="3" t="s">
        <v>311</v>
      </c>
      <c r="C44" s="6" t="n">
        <v>11.457</v>
      </c>
      <c r="D44" s="3" t="s">
        <v>312</v>
      </c>
      <c r="E44" s="6" t="n">
        <v>11.47</v>
      </c>
      <c r="F44" s="3" t="s">
        <v>313</v>
      </c>
      <c r="G44" s="6" t="n">
        <v>8.556</v>
      </c>
      <c r="H44" s="3"/>
      <c r="I44" s="6"/>
      <c r="J44" s="6" t="n">
        <f aca="false">C44-G44</f>
        <v>2.901</v>
      </c>
      <c r="K44" s="3"/>
    </row>
    <row r="45" customFormat="false" ht="15" hidden="false" customHeight="false" outlineLevel="0" collapsed="false">
      <c r="A45" s="3" t="n">
        <v>1972</v>
      </c>
      <c r="B45" s="3" t="s">
        <v>314</v>
      </c>
      <c r="C45" s="6" t="n">
        <v>12.5</v>
      </c>
      <c r="D45" s="3" t="s">
        <v>315</v>
      </c>
      <c r="E45" s="6" t="n">
        <v>12.509</v>
      </c>
      <c r="F45" s="3" t="s">
        <v>316</v>
      </c>
      <c r="G45" s="6" t="n">
        <v>8.55</v>
      </c>
      <c r="H45" s="3"/>
      <c r="I45" s="6"/>
      <c r="J45" s="6" t="n">
        <f aca="false">C45-G45</f>
        <v>3.95</v>
      </c>
      <c r="K45" s="3"/>
    </row>
    <row r="46" customFormat="false" ht="15" hidden="false" customHeight="false" outlineLevel="0" collapsed="false">
      <c r="A46" s="3" t="n">
        <v>1973</v>
      </c>
      <c r="B46" s="3" t="s">
        <v>317</v>
      </c>
      <c r="C46" s="6" t="n">
        <v>11.052</v>
      </c>
      <c r="D46" s="3" t="s">
        <v>318</v>
      </c>
      <c r="E46" s="6" t="n">
        <v>11.055</v>
      </c>
      <c r="F46" s="3" t="s">
        <v>319</v>
      </c>
      <c r="G46" s="6" t="n">
        <v>8.675</v>
      </c>
      <c r="H46" s="3"/>
      <c r="I46" s="6"/>
      <c r="J46" s="6" t="n">
        <f aca="false">C46-G46</f>
        <v>2.377</v>
      </c>
      <c r="K46" s="3"/>
    </row>
    <row r="47" customFormat="false" ht="15" hidden="false" customHeight="false" outlineLevel="0" collapsed="false">
      <c r="A47" s="3" t="n">
        <v>1974</v>
      </c>
      <c r="B47" s="3" t="s">
        <v>320</v>
      </c>
      <c r="C47" s="6" t="n">
        <v>12.619</v>
      </c>
      <c r="D47" s="3" t="s">
        <v>321</v>
      </c>
      <c r="E47" s="6" t="n">
        <v>12.625</v>
      </c>
      <c r="F47" s="3" t="s">
        <v>322</v>
      </c>
      <c r="G47" s="6" t="n">
        <v>8.809</v>
      </c>
      <c r="H47" s="3"/>
      <c r="I47" s="6"/>
      <c r="J47" s="6" t="n">
        <f aca="false">C47-G47</f>
        <v>3.81</v>
      </c>
      <c r="K47" s="3"/>
    </row>
    <row r="48" customFormat="false" ht="15" hidden="false" customHeight="false" outlineLevel="0" collapsed="false">
      <c r="A48" s="3" t="n">
        <v>1975</v>
      </c>
      <c r="B48" s="3" t="s">
        <v>323</v>
      </c>
      <c r="C48" s="6" t="n">
        <v>11.759</v>
      </c>
      <c r="D48" s="3" t="s">
        <v>324</v>
      </c>
      <c r="E48" s="6" t="n">
        <v>11.771</v>
      </c>
      <c r="F48" s="3" t="s">
        <v>325</v>
      </c>
      <c r="G48" s="6" t="n">
        <v>8.531</v>
      </c>
      <c r="H48" s="3"/>
      <c r="I48" s="6"/>
      <c r="J48" s="6" t="n">
        <f aca="false">C48-G48</f>
        <v>3.228</v>
      </c>
      <c r="K48" s="3"/>
    </row>
    <row r="49" customFormat="false" ht="15" hidden="false" customHeight="false" outlineLevel="0" collapsed="false">
      <c r="A49" s="3" t="n">
        <v>1976</v>
      </c>
      <c r="B49" s="3" t="s">
        <v>326</v>
      </c>
      <c r="C49" s="6" t="n">
        <v>11.634</v>
      </c>
      <c r="D49" s="3" t="s">
        <v>327</v>
      </c>
      <c r="E49" s="6" t="n">
        <v>11.643</v>
      </c>
      <c r="F49" s="3" t="s">
        <v>328</v>
      </c>
      <c r="G49" s="6" t="n">
        <v>8.659</v>
      </c>
      <c r="H49" s="3"/>
      <c r="I49" s="6"/>
      <c r="J49" s="6" t="n">
        <f aca="false">C49-G49</f>
        <v>2.975</v>
      </c>
      <c r="K49" s="3"/>
    </row>
    <row r="50" customFormat="false" ht="15" hidden="false" customHeight="false" outlineLevel="0" collapsed="false">
      <c r="A50" s="3" t="n">
        <v>1977</v>
      </c>
      <c r="B50" s="3" t="s">
        <v>329</v>
      </c>
      <c r="C50" s="6" t="n">
        <v>10.647</v>
      </c>
      <c r="D50" s="3" t="s">
        <v>330</v>
      </c>
      <c r="E50" s="6" t="n">
        <v>10.653</v>
      </c>
      <c r="F50" s="3" t="s">
        <v>331</v>
      </c>
      <c r="G50" s="6" t="n">
        <v>8.693</v>
      </c>
      <c r="H50" s="3"/>
      <c r="I50" s="6"/>
      <c r="J50" s="6" t="n">
        <f aca="false">C50-G50</f>
        <v>1.954</v>
      </c>
      <c r="K50" s="3"/>
    </row>
    <row r="51" customFormat="false" ht="15" hidden="false" customHeight="false" outlineLevel="0" collapsed="false">
      <c r="A51" s="3" t="n">
        <v>1978</v>
      </c>
      <c r="B51" s="3" t="s">
        <v>64</v>
      </c>
      <c r="C51" s="6" t="n">
        <v>11.055</v>
      </c>
      <c r="D51" s="3" t="s">
        <v>332</v>
      </c>
      <c r="E51" s="6" t="n">
        <v>11.061</v>
      </c>
      <c r="F51" s="3" t="s">
        <v>333</v>
      </c>
      <c r="G51" s="6" t="n">
        <v>8.589</v>
      </c>
      <c r="H51" s="3"/>
      <c r="I51" s="6"/>
      <c r="J51" s="6" t="n">
        <f aca="false">C51-G51</f>
        <v>2.466</v>
      </c>
      <c r="K51" s="3" t="s">
        <v>266</v>
      </c>
    </row>
    <row r="52" customFormat="false" ht="15" hidden="false" customHeight="false" outlineLevel="0" collapsed="false">
      <c r="A52" s="3" t="n">
        <v>1979</v>
      </c>
      <c r="B52" s="3" t="s">
        <v>68</v>
      </c>
      <c r="C52" s="6" t="n">
        <v>10.733</v>
      </c>
      <c r="D52" s="3" t="s">
        <v>334</v>
      </c>
      <c r="E52" s="6" t="n">
        <v>10.75</v>
      </c>
      <c r="F52" s="3" t="s">
        <v>335</v>
      </c>
      <c r="G52" s="6" t="n">
        <v>8.211</v>
      </c>
      <c r="H52" s="3"/>
      <c r="I52" s="6"/>
      <c r="J52" s="6" t="n">
        <f aca="false">C52-G52</f>
        <v>2.522</v>
      </c>
      <c r="K52" s="3"/>
    </row>
    <row r="53" customFormat="false" ht="15" hidden="false" customHeight="false" outlineLevel="0" collapsed="false">
      <c r="A53" s="3" t="n">
        <v>1980</v>
      </c>
      <c r="B53" s="3" t="s">
        <v>336</v>
      </c>
      <c r="C53" s="6" t="n">
        <v>11.744</v>
      </c>
      <c r="D53" s="3"/>
      <c r="E53" s="6"/>
      <c r="F53" s="3" t="s">
        <v>337</v>
      </c>
      <c r="G53" s="6" t="n">
        <v>8.705</v>
      </c>
      <c r="H53" s="3"/>
      <c r="I53" s="6"/>
      <c r="J53" s="6" t="n">
        <f aca="false">C53-G53</f>
        <v>3.039</v>
      </c>
      <c r="K53" s="3" t="s">
        <v>338</v>
      </c>
    </row>
    <row r="54" customFormat="false" ht="15" hidden="false" customHeight="false" outlineLevel="0" collapsed="false">
      <c r="A54" s="3" t="n">
        <v>1981</v>
      </c>
      <c r="B54" s="3"/>
      <c r="C54" s="6"/>
      <c r="D54" s="3"/>
      <c r="E54" s="6"/>
      <c r="F54" s="3" t="s">
        <v>339</v>
      </c>
      <c r="G54" s="6" t="n">
        <v>8.779</v>
      </c>
      <c r="H54" s="3"/>
      <c r="I54" s="6"/>
      <c r="J54" s="6"/>
      <c r="K54" s="3"/>
    </row>
    <row r="55" customFormat="false" ht="15" hidden="false" customHeight="false" outlineLevel="0" collapsed="false">
      <c r="A55" s="3" t="n">
        <v>1982</v>
      </c>
      <c r="B55" s="3" t="s">
        <v>340</v>
      </c>
      <c r="C55" s="6" t="n">
        <v>12.423</v>
      </c>
      <c r="D55" s="3" t="s">
        <v>341</v>
      </c>
      <c r="E55" s="6" t="n">
        <v>12.429</v>
      </c>
      <c r="F55" s="3" t="s">
        <v>342</v>
      </c>
      <c r="G55" s="6" t="n">
        <v>8.679</v>
      </c>
      <c r="H55" s="3"/>
      <c r="I55" s="6"/>
      <c r="J55" s="6" t="n">
        <f aca="false">C55-G55</f>
        <v>3.744</v>
      </c>
      <c r="K55" s="3"/>
    </row>
    <row r="56" customFormat="false" ht="15" hidden="false" customHeight="false" outlineLevel="0" collapsed="false">
      <c r="A56" s="3" t="n">
        <v>1983</v>
      </c>
      <c r="B56" s="3" t="s">
        <v>343</v>
      </c>
      <c r="C56" s="6" t="n">
        <v>11.52</v>
      </c>
      <c r="D56" s="3" t="s">
        <v>344</v>
      </c>
      <c r="E56" s="6" t="n">
        <v>11.53</v>
      </c>
      <c r="F56" s="3"/>
      <c r="G56" s="6"/>
      <c r="H56" s="3"/>
      <c r="I56" s="6"/>
      <c r="J56" s="6"/>
      <c r="K56" s="3"/>
    </row>
    <row r="57" customFormat="false" ht="15" hidden="false" customHeight="false" outlineLevel="0" collapsed="false">
      <c r="A57" s="3" t="n">
        <v>1984</v>
      </c>
      <c r="B57" s="3" t="s">
        <v>345</v>
      </c>
      <c r="C57" s="6" t="n">
        <v>11.594</v>
      </c>
      <c r="D57" s="3" t="s">
        <v>346</v>
      </c>
      <c r="E57" s="6" t="n">
        <v>11.602</v>
      </c>
      <c r="F57" s="3" t="s">
        <v>347</v>
      </c>
      <c r="G57" s="6" t="n">
        <v>8.559</v>
      </c>
      <c r="H57" s="3"/>
      <c r="I57" s="6"/>
      <c r="J57" s="6" t="n">
        <f aca="false">C57-G57</f>
        <v>3.035</v>
      </c>
      <c r="K57" s="3"/>
    </row>
    <row r="58" customFormat="false" ht="15" hidden="false" customHeight="false" outlineLevel="0" collapsed="false">
      <c r="A58" s="3" t="n">
        <v>1985</v>
      </c>
      <c r="B58" s="3" t="s">
        <v>348</v>
      </c>
      <c r="C58" s="6" t="n">
        <v>11.511</v>
      </c>
      <c r="D58" s="3" t="s">
        <v>349</v>
      </c>
      <c r="E58" s="6" t="n">
        <v>11.517</v>
      </c>
      <c r="F58" s="3" t="s">
        <v>350</v>
      </c>
      <c r="G58" s="6" t="n">
        <v>8.273</v>
      </c>
      <c r="H58" s="3"/>
      <c r="I58" s="6"/>
      <c r="J58" s="6" t="n">
        <f aca="false">C58-G58</f>
        <v>3.238</v>
      </c>
      <c r="K58" s="3"/>
    </row>
    <row r="59" customFormat="false" ht="15" hidden="false" customHeight="false" outlineLevel="0" collapsed="false">
      <c r="A59" s="3" t="n">
        <v>1986</v>
      </c>
      <c r="B59" s="3" t="s">
        <v>97</v>
      </c>
      <c r="C59" s="6" t="n">
        <v>12.131</v>
      </c>
      <c r="D59" s="3" t="s">
        <v>351</v>
      </c>
      <c r="E59" s="6" t="n">
        <v>12.136</v>
      </c>
      <c r="F59" s="3" t="s">
        <v>352</v>
      </c>
      <c r="G59" s="6" t="n">
        <v>8.272</v>
      </c>
      <c r="H59" s="3"/>
      <c r="I59" s="6"/>
      <c r="J59" s="6" t="n">
        <f aca="false">C59-G59</f>
        <v>3.859</v>
      </c>
      <c r="K59" s="3"/>
    </row>
    <row r="60" customFormat="false" ht="15" hidden="false" customHeight="false" outlineLevel="0" collapsed="false">
      <c r="A60" s="3" t="n">
        <v>1987</v>
      </c>
      <c r="B60" s="3" t="s">
        <v>353</v>
      </c>
      <c r="C60" s="6" t="n">
        <v>11.261</v>
      </c>
      <c r="D60" s="3" t="s">
        <v>354</v>
      </c>
      <c r="E60" s="6" t="n">
        <v>11.276</v>
      </c>
      <c r="F60" s="3" t="s">
        <v>355</v>
      </c>
      <c r="G60" s="6" t="n">
        <v>8.54</v>
      </c>
      <c r="H60" s="3"/>
      <c r="I60" s="6"/>
      <c r="J60" s="6" t="n">
        <f aca="false">C60-G60</f>
        <v>2.721</v>
      </c>
      <c r="K60" s="3"/>
    </row>
    <row r="61" customFormat="false" ht="15" hidden="false" customHeight="false" outlineLevel="0" collapsed="false">
      <c r="A61" s="3" t="n">
        <v>1988</v>
      </c>
      <c r="B61" s="3" t="s">
        <v>356</v>
      </c>
      <c r="C61" s="6" t="n">
        <v>10.939</v>
      </c>
      <c r="D61" s="3" t="s">
        <v>357</v>
      </c>
      <c r="E61" s="6" t="n">
        <v>10.953</v>
      </c>
      <c r="F61" s="3" t="s">
        <v>358</v>
      </c>
      <c r="G61" s="6" t="n">
        <v>8.428</v>
      </c>
      <c r="H61" s="3"/>
      <c r="I61" s="6"/>
      <c r="J61" s="6" t="n">
        <f aca="false">C61-G61</f>
        <v>2.511</v>
      </c>
      <c r="K61" s="3"/>
    </row>
    <row r="62" customFormat="false" ht="15" hidden="false" customHeight="false" outlineLevel="0" collapsed="false">
      <c r="A62" s="3" t="n">
        <v>1989</v>
      </c>
      <c r="B62" s="3" t="s">
        <v>359</v>
      </c>
      <c r="C62" s="6" t="n">
        <v>11.148</v>
      </c>
      <c r="D62" s="3" t="s">
        <v>360</v>
      </c>
      <c r="E62" s="6" t="n">
        <v>11.154</v>
      </c>
      <c r="F62" s="3" t="s">
        <v>361</v>
      </c>
      <c r="G62" s="6" t="n">
        <v>8.51</v>
      </c>
      <c r="H62" s="3"/>
      <c r="I62" s="6"/>
      <c r="J62" s="6" t="n">
        <f aca="false">C62-G62</f>
        <v>2.638</v>
      </c>
      <c r="K62" s="3"/>
    </row>
    <row r="63" customFormat="false" ht="15" hidden="false" customHeight="false" outlineLevel="0" collapsed="false">
      <c r="A63" s="3" t="n">
        <v>1990</v>
      </c>
      <c r="B63" s="3" t="s">
        <v>362</v>
      </c>
      <c r="C63" s="6" t="n">
        <v>11.871</v>
      </c>
      <c r="D63" s="3" t="s">
        <v>363</v>
      </c>
      <c r="E63" s="6" t="n">
        <v>11.886</v>
      </c>
      <c r="F63" s="3" t="s">
        <v>364</v>
      </c>
      <c r="G63" s="6" t="n">
        <v>8.709</v>
      </c>
      <c r="H63" s="3"/>
      <c r="I63" s="6"/>
      <c r="J63" s="6" t="n">
        <f aca="false">C63-G63</f>
        <v>3.162</v>
      </c>
      <c r="K63" s="3"/>
    </row>
    <row r="64" customFormat="false" ht="15" hidden="false" customHeight="false" outlineLevel="0" collapsed="false">
      <c r="A64" s="3" t="n">
        <v>1991</v>
      </c>
      <c r="B64" s="3" t="s">
        <v>365</v>
      </c>
      <c r="C64" s="6" t="n">
        <v>11.622</v>
      </c>
      <c r="D64" s="3" t="s">
        <v>366</v>
      </c>
      <c r="E64" s="6" t="n">
        <v>11.657</v>
      </c>
      <c r="F64" s="3" t="s">
        <v>367</v>
      </c>
      <c r="G64" s="6" t="n">
        <v>8.653</v>
      </c>
      <c r="H64" s="3"/>
      <c r="I64" s="6"/>
      <c r="J64" s="6" t="n">
        <f aca="false">C64-G64</f>
        <v>2.969</v>
      </c>
      <c r="K64" s="3"/>
    </row>
    <row r="65" customFormat="false" ht="15" hidden="false" customHeight="false" outlineLevel="0" collapsed="false">
      <c r="A65" s="3" t="n">
        <v>1992</v>
      </c>
      <c r="B65" s="3" t="s">
        <v>368</v>
      </c>
      <c r="C65" s="6" t="n">
        <v>10.932</v>
      </c>
      <c r="D65" s="3"/>
      <c r="E65" s="6"/>
      <c r="F65" s="3" t="s">
        <v>131</v>
      </c>
      <c r="G65" s="6" t="n">
        <v>8.616</v>
      </c>
      <c r="H65" s="3"/>
      <c r="I65" s="6"/>
      <c r="J65" s="6" t="n">
        <f aca="false">C65-G65</f>
        <v>2.316</v>
      </c>
      <c r="K65" s="3" t="s">
        <v>266</v>
      </c>
    </row>
    <row r="66" customFormat="false" ht="15" hidden="false" customHeight="false" outlineLevel="0" collapsed="false">
      <c r="A66" s="3" t="n">
        <v>1993</v>
      </c>
      <c r="B66" s="3" t="s">
        <v>369</v>
      </c>
      <c r="C66" s="6" t="n">
        <v>11.427</v>
      </c>
      <c r="D66" s="3" t="s">
        <v>370</v>
      </c>
      <c r="E66" s="6" t="n">
        <v>11.435</v>
      </c>
      <c r="F66" s="3" t="s">
        <v>371</v>
      </c>
      <c r="G66" s="6" t="n">
        <v>8.294</v>
      </c>
      <c r="H66" s="3" t="s">
        <v>372</v>
      </c>
      <c r="I66" s="6" t="n">
        <v>8.155</v>
      </c>
      <c r="J66" s="6" t="n">
        <f aca="false">C66-G66</f>
        <v>3.133</v>
      </c>
      <c r="K66" s="3"/>
    </row>
    <row r="67" customFormat="false" ht="15" hidden="false" customHeight="false" outlineLevel="0" collapsed="false">
      <c r="A67" s="3" t="n">
        <v>1994</v>
      </c>
      <c r="B67" s="3" t="s">
        <v>373</v>
      </c>
      <c r="C67" s="6" t="n">
        <v>10.588</v>
      </c>
      <c r="D67" s="3" t="s">
        <v>374</v>
      </c>
      <c r="E67" s="6" t="n">
        <v>10.59</v>
      </c>
      <c r="F67" s="3" t="s">
        <v>375</v>
      </c>
      <c r="G67" s="6" t="n">
        <v>8.691</v>
      </c>
      <c r="H67" s="3" t="s">
        <v>376</v>
      </c>
      <c r="I67" s="6" t="n">
        <v>8.678</v>
      </c>
      <c r="J67" s="6" t="n">
        <f aca="false">C67-G67</f>
        <v>1.897</v>
      </c>
      <c r="K67" s="3"/>
    </row>
    <row r="68" customFormat="false" ht="15" hidden="false" customHeight="false" outlineLevel="0" collapsed="false">
      <c r="A68" s="3" t="n">
        <v>1995</v>
      </c>
      <c r="B68" s="3" t="s">
        <v>377</v>
      </c>
      <c r="C68" s="6" t="n">
        <v>11.274</v>
      </c>
      <c r="D68" s="3" t="s">
        <v>378</v>
      </c>
      <c r="E68" s="6" t="n">
        <v>11.284</v>
      </c>
      <c r="F68" s="3" t="s">
        <v>379</v>
      </c>
      <c r="G68" s="6" t="n">
        <v>8.785</v>
      </c>
      <c r="H68" s="3" t="s">
        <v>380</v>
      </c>
      <c r="I68" s="6" t="n">
        <v>8.779</v>
      </c>
      <c r="J68" s="6" t="n">
        <f aca="false">C68-G68</f>
        <v>2.489</v>
      </c>
      <c r="K68" s="3"/>
    </row>
    <row r="69" customFormat="false" ht="15" hidden="false" customHeight="false" outlineLevel="0" collapsed="false">
      <c r="A69" s="3" t="n">
        <v>1996</v>
      </c>
      <c r="B69" s="3" t="s">
        <v>381</v>
      </c>
      <c r="C69" s="6" t="n">
        <v>10.973</v>
      </c>
      <c r="D69" s="3" t="s">
        <v>382</v>
      </c>
      <c r="E69" s="6" t="n">
        <v>10.975</v>
      </c>
      <c r="F69" s="3"/>
      <c r="G69" s="6"/>
      <c r="H69" s="3"/>
      <c r="I69" s="6"/>
      <c r="J69" s="6"/>
      <c r="K69" s="3"/>
    </row>
    <row r="70" customFormat="false" ht="15" hidden="false" customHeight="false" outlineLevel="0" collapsed="false">
      <c r="A70" s="3" t="n">
        <v>1997</v>
      </c>
      <c r="B70" s="3" t="s">
        <v>383</v>
      </c>
      <c r="C70" s="6" t="n">
        <v>12.25</v>
      </c>
      <c r="D70" s="3" t="s">
        <v>384</v>
      </c>
      <c r="E70" s="6" t="n">
        <v>12.257</v>
      </c>
      <c r="F70" s="3" t="s">
        <v>385</v>
      </c>
      <c r="G70" s="6" t="n">
        <v>8.864</v>
      </c>
      <c r="H70" s="3"/>
      <c r="I70" s="6"/>
      <c r="J70" s="6" t="n">
        <f aca="false">C70-G70</f>
        <v>3.386</v>
      </c>
      <c r="K70" s="3"/>
    </row>
    <row r="71" customFormat="false" ht="15" hidden="false" customHeight="false" outlineLevel="0" collapsed="false">
      <c r="A71" s="3" t="n">
        <v>1998</v>
      </c>
      <c r="B71" s="3" t="s">
        <v>386</v>
      </c>
      <c r="C71" s="6" t="n">
        <v>11.076</v>
      </c>
      <c r="D71" s="3" t="s">
        <v>387</v>
      </c>
      <c r="E71" s="6" t="n">
        <v>11.08</v>
      </c>
      <c r="F71" s="3" t="s">
        <v>388</v>
      </c>
      <c r="G71" s="6" t="n">
        <v>8.713</v>
      </c>
      <c r="H71" s="3"/>
      <c r="I71" s="6"/>
      <c r="J71" s="6" t="n">
        <f aca="false">C71-G71</f>
        <v>2.363</v>
      </c>
      <c r="K71" s="3"/>
    </row>
    <row r="72" customFormat="false" ht="15" hidden="false" customHeight="false" outlineLevel="0" collapsed="false">
      <c r="A72" s="3" t="n">
        <v>1999</v>
      </c>
      <c r="B72" s="3" t="s">
        <v>389</v>
      </c>
      <c r="C72" s="6" t="n">
        <v>12.31</v>
      </c>
      <c r="D72" s="3" t="s">
        <v>390</v>
      </c>
      <c r="E72" s="6" t="n">
        <v>12.317</v>
      </c>
      <c r="F72" s="3" t="s">
        <v>391</v>
      </c>
      <c r="G72" s="6" t="n">
        <v>8.91</v>
      </c>
      <c r="H72" s="3" t="s">
        <v>392</v>
      </c>
      <c r="I72" s="6" t="n">
        <v>8.893</v>
      </c>
      <c r="J72" s="6" t="n">
        <f aca="false">C72-G72</f>
        <v>3.4</v>
      </c>
      <c r="K72" s="3"/>
    </row>
    <row r="73" customFormat="false" ht="15" hidden="false" customHeight="false" outlineLevel="0" collapsed="false">
      <c r="A73" s="3" t="n">
        <v>2000</v>
      </c>
      <c r="B73" s="3" t="s">
        <v>393</v>
      </c>
      <c r="C73" s="6" t="n">
        <v>11.178</v>
      </c>
      <c r="D73" s="3" t="s">
        <v>394</v>
      </c>
      <c r="E73" s="6" t="n">
        <v>11.183</v>
      </c>
      <c r="F73" s="3" t="s">
        <v>395</v>
      </c>
      <c r="G73" s="6" t="n">
        <v>8.554</v>
      </c>
      <c r="H73" s="3" t="s">
        <v>396</v>
      </c>
      <c r="I73" s="6" t="n">
        <v>8.531</v>
      </c>
      <c r="J73" s="6" t="n">
        <f aca="false">C73-G73</f>
        <v>2.624</v>
      </c>
      <c r="K73" s="3"/>
    </row>
    <row r="74" customFormat="false" ht="15" hidden="false" customHeight="false" outlineLevel="0" collapsed="false">
      <c r="A74" s="3" t="n">
        <v>2001</v>
      </c>
      <c r="B74" s="3" t="s">
        <v>397</v>
      </c>
      <c r="C74" s="6" t="n">
        <v>10.528</v>
      </c>
      <c r="D74" s="3" t="s">
        <v>398</v>
      </c>
      <c r="E74" s="6" t="n">
        <v>10.531</v>
      </c>
      <c r="F74" s="3" t="s">
        <v>399</v>
      </c>
      <c r="G74" s="6" t="n">
        <v>8.385</v>
      </c>
      <c r="H74" s="3" t="s">
        <v>400</v>
      </c>
      <c r="I74" s="6" t="n">
        <v>8.379</v>
      </c>
      <c r="J74" s="6" t="n">
        <f aca="false">C74-G74</f>
        <v>2.143</v>
      </c>
      <c r="K74" s="3"/>
    </row>
    <row r="75" customFormat="false" ht="15" hidden="false" customHeight="false" outlineLevel="0" collapsed="false">
      <c r="A75" s="3" t="n">
        <v>2002</v>
      </c>
      <c r="B75" s="3" t="s">
        <v>401</v>
      </c>
      <c r="C75" s="6" t="n">
        <v>12.102</v>
      </c>
      <c r="D75" s="3" t="s">
        <v>402</v>
      </c>
      <c r="E75" s="6" t="n">
        <v>12.111</v>
      </c>
      <c r="F75" s="3" t="s">
        <v>403</v>
      </c>
      <c r="G75" s="6" t="n">
        <v>8.407</v>
      </c>
      <c r="H75" s="3" t="s">
        <v>404</v>
      </c>
      <c r="I75" s="6" t="n">
        <v>8.404</v>
      </c>
      <c r="J75" s="6" t="n">
        <f aca="false">C75-G75</f>
        <v>3.695</v>
      </c>
      <c r="K75" s="3"/>
    </row>
    <row r="76" customFormat="false" ht="15" hidden="false" customHeight="false" outlineLevel="0" collapsed="false">
      <c r="A76" s="3" t="n">
        <v>2003</v>
      </c>
      <c r="B76" s="3" t="s">
        <v>405</v>
      </c>
      <c r="C76" s="6" t="n">
        <v>12.063</v>
      </c>
      <c r="D76" s="3" t="s">
        <v>406</v>
      </c>
      <c r="E76" s="6" t="n">
        <v>12.119</v>
      </c>
      <c r="F76" s="3" t="s">
        <v>407</v>
      </c>
      <c r="G76" s="6" t="n">
        <v>8.634</v>
      </c>
      <c r="H76" s="3" t="s">
        <v>408</v>
      </c>
      <c r="I76" s="6" t="n">
        <v>8.621</v>
      </c>
      <c r="J76" s="6" t="n">
        <f aca="false">C76-G76</f>
        <v>3.429</v>
      </c>
      <c r="K76" s="3"/>
    </row>
    <row r="77" customFormat="false" ht="15" hidden="false" customHeight="false" outlineLevel="0" collapsed="false">
      <c r="A77" s="3" t="n">
        <v>2004</v>
      </c>
      <c r="B77" s="3" t="s">
        <v>409</v>
      </c>
      <c r="C77" s="6" t="n">
        <v>10.631</v>
      </c>
      <c r="D77" s="3" t="s">
        <v>410</v>
      </c>
      <c r="E77" s="6" t="n">
        <v>10.647</v>
      </c>
      <c r="F77" s="3" t="s">
        <v>411</v>
      </c>
      <c r="G77" s="6" t="n">
        <v>8.749</v>
      </c>
      <c r="H77" s="3" t="s">
        <v>412</v>
      </c>
      <c r="I77" s="6" t="n">
        <v>8.702</v>
      </c>
      <c r="J77" s="6" t="n">
        <f aca="false">C77-G77</f>
        <v>1.882</v>
      </c>
      <c r="K77" s="3"/>
    </row>
    <row r="78" customFormat="false" ht="15" hidden="false" customHeight="false" outlineLevel="0" collapsed="false">
      <c r="A78" s="3" t="n">
        <v>2005</v>
      </c>
      <c r="B78" s="3" t="s">
        <v>413</v>
      </c>
      <c r="C78" s="6" t="n">
        <v>10.934</v>
      </c>
      <c r="D78" s="3" t="s">
        <v>414</v>
      </c>
      <c r="E78" s="6" t="n">
        <v>10.955</v>
      </c>
      <c r="F78" s="3" t="s">
        <v>415</v>
      </c>
      <c r="G78" s="6" t="n">
        <v>8.748</v>
      </c>
      <c r="H78" s="3" t="s">
        <v>416</v>
      </c>
      <c r="I78" s="6" t="n">
        <v>8.742</v>
      </c>
      <c r="J78" s="6" t="n">
        <f aca="false">C78-G78</f>
        <v>2.186</v>
      </c>
      <c r="K78" s="3"/>
    </row>
    <row r="79" customFormat="false" ht="15" hidden="false" customHeight="false" outlineLevel="0" collapsed="false">
      <c r="A79" s="3" t="n">
        <v>2006</v>
      </c>
      <c r="B79" s="3" t="s">
        <v>417</v>
      </c>
      <c r="C79" s="6" t="n">
        <v>11.414</v>
      </c>
      <c r="D79" s="3" t="s">
        <v>418</v>
      </c>
      <c r="E79" s="6" t="n">
        <v>11.422</v>
      </c>
      <c r="F79" s="3" t="s">
        <v>419</v>
      </c>
      <c r="G79" s="6" t="n">
        <v>8.579</v>
      </c>
      <c r="H79" s="3" t="s">
        <v>420</v>
      </c>
      <c r="I79" s="6" t="n">
        <v>8.535</v>
      </c>
      <c r="J79" s="6" t="n">
        <f aca="false">C79-G79</f>
        <v>2.835</v>
      </c>
      <c r="K79" s="3"/>
    </row>
    <row r="80" customFormat="false" ht="15" hidden="false" customHeight="false" outlineLevel="0" collapsed="false">
      <c r="A80" s="3" t="n">
        <v>2007</v>
      </c>
      <c r="B80" s="3" t="s">
        <v>421</v>
      </c>
      <c r="C80" s="6" t="n">
        <v>12.077</v>
      </c>
      <c r="D80" s="3" t="s">
        <v>422</v>
      </c>
      <c r="E80" s="6" t="n">
        <v>12.09</v>
      </c>
      <c r="F80" s="3" t="s">
        <v>423</v>
      </c>
      <c r="G80" s="6" t="n">
        <v>8.805</v>
      </c>
      <c r="H80" s="3" t="s">
        <v>424</v>
      </c>
      <c r="I80" s="6" t="n">
        <v>8.756</v>
      </c>
      <c r="J80" s="6" t="n">
        <f aca="false">C80-G80</f>
        <v>3.272</v>
      </c>
      <c r="K80" s="3"/>
    </row>
    <row r="81" customFormat="false" ht="15" hidden="false" customHeight="false" outlineLevel="0" collapsed="false">
      <c r="A81" s="3" t="n">
        <v>2008</v>
      </c>
      <c r="B81" s="3" t="s">
        <v>425</v>
      </c>
      <c r="C81" s="6" t="n">
        <v>12.017</v>
      </c>
      <c r="D81" s="3" t="s">
        <v>426</v>
      </c>
      <c r="E81" s="6" t="n">
        <v>12.035</v>
      </c>
      <c r="F81" s="3" t="s">
        <v>427</v>
      </c>
      <c r="G81" s="6" t="n">
        <v>8.633</v>
      </c>
      <c r="H81" s="3"/>
      <c r="I81" s="6"/>
      <c r="J81" s="6" t="n">
        <f aca="false">C81-G81</f>
        <v>3.384</v>
      </c>
      <c r="K81" s="3"/>
    </row>
    <row r="82" customFormat="false" ht="15" hidden="false" customHeight="false" outlineLevel="0" collapsed="false">
      <c r="A82" s="3" t="n">
        <v>2009</v>
      </c>
      <c r="B82" s="3" t="s">
        <v>428</v>
      </c>
      <c r="C82" s="6" t="n">
        <v>11.088</v>
      </c>
      <c r="D82" s="3" t="s">
        <v>429</v>
      </c>
      <c r="E82" s="6" t="n">
        <v>11.103</v>
      </c>
      <c r="F82" s="3" t="s">
        <v>430</v>
      </c>
      <c r="G82" s="6" t="n">
        <v>8.416</v>
      </c>
      <c r="H82" s="3" t="s">
        <v>431</v>
      </c>
      <c r="I82" s="6" t="n">
        <v>8.375</v>
      </c>
      <c r="J82" s="6" t="n">
        <f aca="false">C82-G82</f>
        <v>2.672</v>
      </c>
      <c r="K82" s="3"/>
    </row>
    <row r="83" customFormat="false" ht="15" hidden="false" customHeight="false" outlineLevel="0" collapsed="false">
      <c r="A83" s="3" t="n">
        <v>2010</v>
      </c>
      <c r="B83" s="3" t="s">
        <v>432</v>
      </c>
      <c r="C83" s="6" t="n">
        <v>11.246</v>
      </c>
      <c r="D83" s="3" t="s">
        <v>433</v>
      </c>
      <c r="E83" s="6" t="n">
        <v>11.261</v>
      </c>
      <c r="F83" s="3" t="s">
        <v>434</v>
      </c>
      <c r="G83" s="6" t="n">
        <v>8.978</v>
      </c>
      <c r="H83" s="3" t="s">
        <v>435</v>
      </c>
      <c r="I83" s="6" t="n">
        <v>8.93</v>
      </c>
      <c r="J83" s="6" t="n">
        <f aca="false">C83-G83</f>
        <v>2.268</v>
      </c>
      <c r="K83" s="3"/>
    </row>
    <row r="84" customFormat="false" ht="15" hidden="false" customHeight="false" outlineLevel="0" collapsed="false">
      <c r="A84" s="3" t="n">
        <v>2011</v>
      </c>
      <c r="B84" s="3" t="s">
        <v>436</v>
      </c>
      <c r="C84" s="6" t="n">
        <v>11.825</v>
      </c>
      <c r="D84" s="3" t="s">
        <v>437</v>
      </c>
      <c r="E84" s="6" t="n">
        <v>11.837</v>
      </c>
      <c r="F84" s="3" t="s">
        <v>438</v>
      </c>
      <c r="G84" s="6" t="n">
        <v>8.783</v>
      </c>
      <c r="H84" s="3" t="s">
        <v>439</v>
      </c>
      <c r="I84" s="6" t="n">
        <v>8.701</v>
      </c>
      <c r="J84" s="6" t="n">
        <f aca="false">C84-G84</f>
        <v>3.042</v>
      </c>
      <c r="K84" s="3"/>
    </row>
    <row r="85" customFormat="false" ht="15" hidden="false" customHeight="false" outlineLevel="0" collapsed="false">
      <c r="A85" s="3" t="n">
        <v>2012</v>
      </c>
      <c r="B85" s="3" t="s">
        <v>440</v>
      </c>
      <c r="C85" s="6" t="n">
        <v>12.42</v>
      </c>
      <c r="D85" s="3" t="s">
        <v>441</v>
      </c>
      <c r="E85" s="6" t="n">
        <v>12.439</v>
      </c>
      <c r="F85" s="3" t="s">
        <v>442</v>
      </c>
      <c r="G85" s="6" t="n">
        <v>8.767</v>
      </c>
      <c r="H85" s="3" t="s">
        <v>443</v>
      </c>
      <c r="I85" s="6" t="n">
        <v>8.699</v>
      </c>
      <c r="J85" s="6" t="n">
        <f aca="false">C85-G85</f>
        <v>3.653</v>
      </c>
      <c r="K85" s="3"/>
    </row>
    <row r="86" customFormat="false" ht="15" hidden="false" customHeight="false" outlineLevel="0" collapsed="false">
      <c r="A86" s="3" t="n">
        <v>2013</v>
      </c>
      <c r="B86" s="3" t="s">
        <v>444</v>
      </c>
      <c r="C86" s="6" t="n">
        <v>11.903</v>
      </c>
      <c r="D86" s="3" t="s">
        <v>445</v>
      </c>
      <c r="E86" s="6" t="n">
        <v>11.92</v>
      </c>
      <c r="F86" s="3" t="s">
        <v>446</v>
      </c>
      <c r="G86" s="6" t="n">
        <v>8.543</v>
      </c>
      <c r="H86" s="3" t="s">
        <v>447</v>
      </c>
      <c r="I86" s="6" t="n">
        <v>8.482</v>
      </c>
      <c r="J86" s="6" t="n">
        <f aca="false">C86-G86</f>
        <v>3.36</v>
      </c>
      <c r="K86" s="3"/>
    </row>
    <row r="87" customFormat="false" ht="15" hidden="false" customHeight="false" outlineLevel="0" collapsed="false">
      <c r="A87" s="3" t="n">
        <v>2014</v>
      </c>
      <c r="B87" s="3" t="s">
        <v>184</v>
      </c>
      <c r="C87" s="6" t="n">
        <v>11.514</v>
      </c>
      <c r="D87" s="3" t="s">
        <v>448</v>
      </c>
      <c r="E87" s="6" t="n">
        <v>11.525</v>
      </c>
      <c r="F87" s="3" t="s">
        <v>449</v>
      </c>
      <c r="G87" s="6" t="n">
        <v>8.487</v>
      </c>
      <c r="H87" s="3" t="s">
        <v>450</v>
      </c>
      <c r="I87" s="6" t="n">
        <v>8.417</v>
      </c>
      <c r="J87" s="6" t="n">
        <f aca="false">C87-G87</f>
        <v>3.027</v>
      </c>
      <c r="K87" s="3"/>
    </row>
    <row r="88" customFormat="false" ht="15" hidden="false" customHeight="false" outlineLevel="0" collapsed="false">
      <c r="A88" s="3" t="n">
        <v>2015</v>
      </c>
      <c r="B88" s="3" t="s">
        <v>187</v>
      </c>
      <c r="C88" s="6" t="n">
        <v>11.057</v>
      </c>
      <c r="D88" s="3" t="s">
        <v>451</v>
      </c>
      <c r="E88" s="6" t="n">
        <v>11.066</v>
      </c>
      <c r="F88" s="3" t="s">
        <v>452</v>
      </c>
      <c r="G88" s="6" t="n">
        <v>9.038</v>
      </c>
      <c r="H88" s="3" t="s">
        <v>453</v>
      </c>
      <c r="I88" s="6" t="n">
        <v>9.007</v>
      </c>
      <c r="J88" s="6" t="n">
        <f aca="false">C88-G88</f>
        <v>2.019</v>
      </c>
      <c r="K88" s="3"/>
    </row>
    <row r="89" customFormat="false" ht="15" hidden="false" customHeight="false" outlineLevel="0" collapsed="false">
      <c r="A89" s="3" t="n">
        <v>2016</v>
      </c>
      <c r="B89" s="3" t="s">
        <v>454</v>
      </c>
      <c r="C89" s="6" t="n">
        <v>11.202</v>
      </c>
      <c r="D89" s="3" t="s">
        <v>455</v>
      </c>
      <c r="E89" s="6" t="n">
        <v>11.243</v>
      </c>
      <c r="F89" s="3" t="s">
        <v>456</v>
      </c>
      <c r="G89" s="6" t="n">
        <v>8.882</v>
      </c>
      <c r="H89" s="3" t="s">
        <v>457</v>
      </c>
      <c r="I89" s="6" t="n">
        <v>8.844</v>
      </c>
      <c r="J89" s="6" t="n">
        <f aca="false">C89-G89</f>
        <v>2.32</v>
      </c>
      <c r="K89" s="3"/>
    </row>
    <row r="90" customFormat="false" ht="15" hidden="false" customHeight="false" outlineLevel="0" collapsed="false">
      <c r="A90" s="3" t="n">
        <v>2017</v>
      </c>
      <c r="B90" s="3" t="s">
        <v>193</v>
      </c>
      <c r="C90" s="6" t="n">
        <v>12.044</v>
      </c>
      <c r="D90" s="3" t="s">
        <v>458</v>
      </c>
      <c r="E90" s="6" t="n">
        <v>12.064</v>
      </c>
      <c r="F90" s="3"/>
      <c r="G90" s="6"/>
      <c r="H90" s="3"/>
      <c r="I90" s="6"/>
      <c r="J90" s="6"/>
      <c r="K90" s="3"/>
    </row>
    <row r="91" customFormat="false" ht="15" hidden="false" customHeight="false" outlineLevel="0" collapsed="false">
      <c r="A91" s="3" t="n">
        <v>2018</v>
      </c>
      <c r="B91" s="3" t="s">
        <v>459</v>
      </c>
      <c r="C91" s="6" t="n">
        <v>12.312</v>
      </c>
      <c r="D91" s="3" t="s">
        <v>460</v>
      </c>
      <c r="E91" s="6" t="n">
        <v>12.32</v>
      </c>
      <c r="F91" s="3" t="s">
        <v>461</v>
      </c>
      <c r="G91" s="6" t="n">
        <v>8.714</v>
      </c>
      <c r="H91" s="3"/>
      <c r="I91" s="6"/>
      <c r="J91" s="6" t="n">
        <f aca="false">C91-G91</f>
        <v>3.598</v>
      </c>
      <c r="K91" s="3"/>
    </row>
    <row r="92" customFormat="false" ht="15" hidden="false" customHeight="false" outlineLevel="0" collapsed="false">
      <c r="A92" s="3" t="n">
        <v>2019</v>
      </c>
      <c r="B92" s="3"/>
      <c r="C92" s="6"/>
      <c r="D92" s="3"/>
      <c r="E92" s="6"/>
      <c r="F92" s="3"/>
      <c r="G92" s="6"/>
      <c r="H92" s="3"/>
      <c r="I92" s="6"/>
      <c r="J92" s="6"/>
      <c r="K92" s="3"/>
    </row>
    <row r="93" customFormat="false" ht="15" hidden="false" customHeight="false" outlineLevel="0" collapsed="false">
      <c r="A93" s="3" t="n">
        <v>2020</v>
      </c>
      <c r="B93" s="3"/>
      <c r="C93" s="6"/>
      <c r="D93" s="3"/>
      <c r="E93" s="6"/>
      <c r="F93" s="3"/>
      <c r="G93" s="6"/>
      <c r="H93" s="3"/>
      <c r="I93" s="6"/>
      <c r="J93" s="6"/>
      <c r="K93" s="3"/>
    </row>
    <row r="94" customFormat="false" ht="15" hidden="false" customHeight="false" outlineLevel="0" collapsed="false">
      <c r="A94" s="3" t="n">
        <v>2021</v>
      </c>
      <c r="B94" s="3" t="s">
        <v>462</v>
      </c>
      <c r="C94" s="6" t="n">
        <v>12.235</v>
      </c>
      <c r="D94" s="3" t="s">
        <v>463</v>
      </c>
      <c r="E94" s="6" t="n">
        <v>12.265</v>
      </c>
      <c r="F94" s="3" t="s">
        <v>464</v>
      </c>
      <c r="G94" s="6" t="n">
        <v>8.87</v>
      </c>
      <c r="H94" s="3" t="s">
        <v>465</v>
      </c>
      <c r="I94" s="6" t="n">
        <v>8.808</v>
      </c>
      <c r="J94" s="6" t="n">
        <f aca="false">C94-G94</f>
        <v>3.365</v>
      </c>
      <c r="K94" s="3"/>
    </row>
    <row r="95" customFormat="false" ht="15" hidden="false" customHeight="false" outlineLevel="0" collapsed="false">
      <c r="A95" s="3" t="n">
        <v>2022</v>
      </c>
      <c r="B95" s="3" t="s">
        <v>466</v>
      </c>
      <c r="C95" s="6" t="n">
        <v>12.075</v>
      </c>
      <c r="D95" s="3" t="s">
        <v>467</v>
      </c>
      <c r="E95" s="6" t="n">
        <v>12.094</v>
      </c>
      <c r="F95" s="3"/>
      <c r="G95" s="6"/>
      <c r="H95" s="3"/>
      <c r="I95" s="6"/>
      <c r="J95" s="6"/>
      <c r="K95" s="3"/>
    </row>
    <row r="96" customFormat="false" ht="15" hidden="false" customHeight="false" outlineLevel="0" collapsed="false">
      <c r="A96" s="3" t="n">
        <v>2023</v>
      </c>
      <c r="B96" s="3" t="s">
        <v>468</v>
      </c>
      <c r="C96" s="6" t="n">
        <v>11.989</v>
      </c>
      <c r="D96" s="3" t="s">
        <v>469</v>
      </c>
      <c r="E96" s="6" t="n">
        <v>12.002</v>
      </c>
      <c r="F96" s="3" t="s">
        <v>470</v>
      </c>
      <c r="G96" s="6" t="n">
        <v>8.451</v>
      </c>
      <c r="H96" s="3" t="s">
        <v>471</v>
      </c>
      <c r="I96" s="6" t="n">
        <v>8.421</v>
      </c>
      <c r="J96" s="6" t="n">
        <f aca="false">C96-G96</f>
        <v>3.538</v>
      </c>
      <c r="K96" s="3"/>
    </row>
    <row r="97" customFormat="false" ht="15" hidden="false" customHeight="false" outlineLevel="0" collapsed="false">
      <c r="A97" s="3" t="n">
        <v>2024</v>
      </c>
      <c r="B97" s="3" t="s">
        <v>472</v>
      </c>
      <c r="C97" s="6" t="n">
        <v>11.101</v>
      </c>
      <c r="D97" s="3" t="s">
        <v>473</v>
      </c>
      <c r="E97" s="6" t="n">
        <v>11.129</v>
      </c>
      <c r="F97" s="3" t="s">
        <v>474</v>
      </c>
      <c r="G97" s="6" t="n">
        <v>9.073</v>
      </c>
      <c r="H97" s="3" t="s">
        <v>475</v>
      </c>
      <c r="I97" s="6" t="n">
        <v>9.046</v>
      </c>
      <c r="J97" s="6" t="n">
        <f aca="false">C97-G97</f>
        <v>2.028</v>
      </c>
      <c r="K97" s="3"/>
    </row>
    <row r="98" customFormat="false" ht="15" hidden="false" customHeight="false" outlineLevel="0" collapsed="false">
      <c r="A98" s="3" t="n">
        <v>2025</v>
      </c>
      <c r="B98" s="3" t="s">
        <v>476</v>
      </c>
      <c r="C98" s="6" t="n">
        <v>11.05</v>
      </c>
      <c r="D98" s="3" t="s">
        <v>477</v>
      </c>
      <c r="E98" s="6" t="n">
        <v>11.062</v>
      </c>
      <c r="F98" s="3" t="s">
        <v>478</v>
      </c>
      <c r="G98" s="6" t="n">
        <v>8.457</v>
      </c>
      <c r="H98" s="3" t="s">
        <v>479</v>
      </c>
      <c r="I98" s="6" t="n">
        <v>8.427</v>
      </c>
      <c r="J98" s="6" t="n">
        <f aca="false">C98-G98</f>
        <v>2.593</v>
      </c>
      <c r="K98" s="3"/>
    </row>
    <row r="100" customFormat="false" ht="15" hidden="false" customHeight="false" outlineLevel="0" collapsed="false">
      <c r="A100" s="2" t="s">
        <v>480</v>
      </c>
    </row>
    <row r="102" customFormat="false" ht="15" hidden="false" customHeight="false" outlineLevel="0" collapsed="false">
      <c r="A102" s="9" t="s">
        <v>481</v>
      </c>
    </row>
    <row r="103" customFormat="false" ht="48" hidden="false" customHeight="true" outlineLevel="0" collapsed="false">
      <c r="A103" s="5" t="s">
        <v>482</v>
      </c>
      <c r="B103" s="5" t="s">
        <v>3</v>
      </c>
      <c r="C103" s="5" t="s">
        <v>6</v>
      </c>
      <c r="D103" s="5" t="s">
        <v>483</v>
      </c>
    </row>
    <row r="104" customFormat="false" ht="15" hidden="false" customHeight="false" outlineLevel="0" collapsed="false">
      <c r="A104" s="3" t="n">
        <v>1</v>
      </c>
      <c r="B104" s="3" t="n">
        <f aca="false">INDEX($A$6:$A$98,MATCH(C104,$C$6:$C$98,0))</f>
        <v>1948</v>
      </c>
      <c r="C104" s="6" t="n">
        <f aca="false">LARGE($C$6:$C$98,A104)</f>
        <v>13.298</v>
      </c>
      <c r="D104" s="3" t="str">
        <f aca="false">INDEX($B$6:$B$98,MATCH(C104,$C$6:$C$98,0))</f>
        <v>1948-06-11</v>
      </c>
    </row>
    <row r="105" customFormat="false" ht="15" hidden="false" customHeight="false" outlineLevel="0" collapsed="false">
      <c r="A105" s="3" t="n">
        <v>2</v>
      </c>
      <c r="B105" s="3" t="n">
        <f aca="false">INDEX($A$6:$A$98,MATCH(C105,$C$6:$C$98,0))</f>
        <v>1950</v>
      </c>
      <c r="C105" s="6" t="n">
        <f aca="false">LARGE($C$6:$C$98,A105)</f>
        <v>13.146</v>
      </c>
      <c r="D105" s="3" t="str">
        <f aca="false">INDEX($B$6:$B$98,MATCH(C105,$C$6:$C$98,0))</f>
        <v>1950-06-22</v>
      </c>
    </row>
    <row r="106" customFormat="false" ht="15" hidden="false" customHeight="false" outlineLevel="0" collapsed="false">
      <c r="A106" s="3" t="n">
        <v>3</v>
      </c>
      <c r="B106" s="3" t="n">
        <f aca="false">INDEX($A$6:$A$98,MATCH(C106,$C$6:$C$98,0))</f>
        <v>1967</v>
      </c>
      <c r="C106" s="6" t="n">
        <f aca="false">LARGE($C$6:$C$98,A106)</f>
        <v>12.823</v>
      </c>
      <c r="D106" s="3" t="str">
        <f aca="false">INDEX($B$6:$B$98,MATCH(C106,$C$6:$C$98,0))</f>
        <v>1967-06-24</v>
      </c>
    </row>
    <row r="107" customFormat="false" ht="15" hidden="false" customHeight="false" outlineLevel="0" collapsed="false">
      <c r="A107" s="3" t="n">
        <v>4</v>
      </c>
      <c r="B107" s="3" t="n">
        <f aca="false">INDEX($A$6:$A$98,MATCH(C107,$C$6:$C$98,0))</f>
        <v>1974</v>
      </c>
      <c r="C107" s="6" t="n">
        <f aca="false">LARGE($C$6:$C$98,A107)</f>
        <v>12.619</v>
      </c>
      <c r="D107" s="3" t="str">
        <f aca="false">INDEX($B$6:$B$98,MATCH(C107,$C$6:$C$98,0))</f>
        <v>1974-06-23</v>
      </c>
    </row>
    <row r="108" customFormat="false" ht="15" hidden="false" customHeight="false" outlineLevel="0" collapsed="false">
      <c r="A108" s="3" t="n">
        <v>5</v>
      </c>
      <c r="B108" s="3" t="n">
        <f aca="false">INDEX($A$6:$A$98,MATCH(C108,$C$6:$C$98,0))</f>
        <v>1972</v>
      </c>
      <c r="C108" s="6" t="n">
        <f aca="false">LARGE($C$6:$C$98,A108)</f>
        <v>12.5</v>
      </c>
      <c r="D108" s="3" t="str">
        <f aca="false">INDEX($B$6:$B$98,MATCH(C108,$C$6:$C$98,0))</f>
        <v>1972-06-12</v>
      </c>
    </row>
    <row r="109" customFormat="false" ht="15" hidden="false" customHeight="false" outlineLevel="0" collapsed="false">
      <c r="A109" s="3" t="n">
        <v>6</v>
      </c>
      <c r="B109" s="3" t="n">
        <f aca="false">INDEX($A$6:$A$98,MATCH(C109,$C$6:$C$98,0))</f>
        <v>1982</v>
      </c>
      <c r="C109" s="6" t="n">
        <f aca="false">LARGE($C$6:$C$98,A109)</f>
        <v>12.423</v>
      </c>
      <c r="D109" s="3" t="str">
        <f aca="false">INDEX($B$6:$B$98,MATCH(C109,$C$6:$C$98,0))</f>
        <v>1982-06-23</v>
      </c>
    </row>
    <row r="110" customFormat="false" ht="15" hidden="false" customHeight="false" outlineLevel="0" collapsed="false">
      <c r="A110" s="3" t="n">
        <v>7</v>
      </c>
      <c r="B110" s="3" t="n">
        <f aca="false">INDEX($A$6:$A$98,MATCH(C110,$C$6:$C$98,0))</f>
        <v>2012</v>
      </c>
      <c r="C110" s="6" t="n">
        <f aca="false">LARGE($C$6:$C$98,A110)</f>
        <v>12.42</v>
      </c>
      <c r="D110" s="3" t="str">
        <f aca="false">INDEX($B$6:$B$98,MATCH(C110,$C$6:$C$98,0))</f>
        <v>2012-06-25</v>
      </c>
    </row>
    <row r="111" customFormat="false" ht="15" hidden="false" customHeight="false" outlineLevel="0" collapsed="false">
      <c r="A111" s="3" t="n">
        <v>8</v>
      </c>
      <c r="B111" s="3" t="n">
        <f aca="false">INDEX($A$6:$A$98,MATCH(C111,$C$6:$C$98,0))</f>
        <v>1969</v>
      </c>
      <c r="C111" s="6" t="n">
        <f aca="false">LARGE($C$6:$C$98,A111)</f>
        <v>12.354</v>
      </c>
      <c r="D111" s="3" t="str">
        <f aca="false">INDEX($B$6:$B$98,MATCH(C111,$C$6:$C$98,0))</f>
        <v>1969-06-14</v>
      </c>
    </row>
    <row r="112" customFormat="false" ht="15" hidden="false" customHeight="false" outlineLevel="0" collapsed="false">
      <c r="A112" s="3" t="n">
        <v>9</v>
      </c>
      <c r="B112" s="3" t="n">
        <f aca="false">INDEX($A$6:$A$98,MATCH(C112,$C$6:$C$98,0))</f>
        <v>2018</v>
      </c>
      <c r="C112" s="6" t="n">
        <f aca="false">LARGE($C$6:$C$98,A112)</f>
        <v>12.312</v>
      </c>
      <c r="D112" s="3" t="str">
        <f aca="false">INDEX($B$6:$B$98,MATCH(C112,$C$6:$C$98,0))</f>
        <v>2018-05-21</v>
      </c>
    </row>
    <row r="113" customFormat="false" ht="15" hidden="false" customHeight="false" outlineLevel="0" collapsed="false">
      <c r="A113" s="3" t="n">
        <v>10</v>
      </c>
      <c r="B113" s="3" t="n">
        <f aca="false">INDEX($A$6:$A$98,MATCH(C113,$C$6:$C$98,0))</f>
        <v>1999</v>
      </c>
      <c r="C113" s="6" t="n">
        <f aca="false">LARGE($C$6:$C$98,A113)</f>
        <v>12.31</v>
      </c>
      <c r="D113" s="3" t="str">
        <f aca="false">INDEX($B$6:$B$98,MATCH(C113,$C$6:$C$98,0))</f>
        <v>1999-07-17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1"/>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16"/>
    <col collapsed="false" customWidth="true" hidden="false" outlineLevel="0" max="8" min="8" style="0" width="70"/>
  </cols>
  <sheetData>
    <row r="1" customFormat="false" ht="16.15" hidden="false" customHeight="false" outlineLevel="0" collapsed="false">
      <c r="A1" s="1" t="s">
        <v>484</v>
      </c>
    </row>
    <row r="2" customFormat="false" ht="15" hidden="false" customHeight="false" outlineLevel="0" collapsed="false">
      <c r="A2" s="2" t="s">
        <v>485</v>
      </c>
    </row>
    <row r="3" customFormat="false" ht="15" hidden="false" customHeight="false" outlineLevel="0" collapsed="false">
      <c r="A3" s="2" t="s">
        <v>486</v>
      </c>
    </row>
    <row r="4" customFormat="false" ht="48" hidden="false" customHeight="true" outlineLevel="0" collapsed="false">
      <c r="A4" s="5" t="s">
        <v>487</v>
      </c>
      <c r="B4" s="5" t="s">
        <v>3</v>
      </c>
      <c r="C4" s="5" t="s">
        <v>483</v>
      </c>
      <c r="D4" s="5" t="s">
        <v>488</v>
      </c>
      <c r="E4" s="5" t="s">
        <v>489</v>
      </c>
      <c r="F4" s="5" t="s">
        <v>490</v>
      </c>
      <c r="G4" s="10" t="s">
        <v>491</v>
      </c>
      <c r="H4" s="5" t="s">
        <v>492</v>
      </c>
    </row>
    <row r="5" customFormat="false" ht="15" hidden="false" customHeight="false" outlineLevel="0" collapsed="false">
      <c r="A5" s="11" t="n">
        <v>1</v>
      </c>
      <c r="B5" s="11" t="n">
        <v>1894</v>
      </c>
      <c r="C5" s="11" t="s">
        <v>493</v>
      </c>
      <c r="D5" s="12" t="n">
        <v>7.92</v>
      </c>
      <c r="E5" s="13"/>
      <c r="F5" s="14" t="n">
        <v>17000</v>
      </c>
      <c r="G5" s="15" t="str">
        <f aca="false">IF(B5&lt;1933,"before 1933 record",IFERROR(IF(INDEX('Harrison Lake 1933-2025'!$C$6:$C$98,MATCH(B5,'Harrison Lake 1933-2025'!$A$6:$A$98,0))="","not published",INDEX('Harrison Lake 1933-2025'!$C$6:$C$98,MATCH(B5,'Harrison Lake 1933-2025'!$A$6:$A$98,0))),"not published"))</f>
        <v>before 1933 record</v>
      </c>
      <c r="H5" s="11" t="s">
        <v>494</v>
      </c>
    </row>
    <row r="6" customFormat="false" ht="15" hidden="false" customHeight="false" outlineLevel="0" collapsed="false">
      <c r="A6" s="11" t="n">
        <v>2</v>
      </c>
      <c r="B6" s="11" t="n">
        <v>1948</v>
      </c>
      <c r="C6" s="11" t="s">
        <v>495</v>
      </c>
      <c r="D6" s="12" t="n">
        <v>7.61</v>
      </c>
      <c r="E6" s="13"/>
      <c r="F6" s="14" t="n">
        <v>15200</v>
      </c>
      <c r="G6" s="15" t="n">
        <f aca="false">IF(B6&lt;1933,"before 1933 record",IFERROR(IF(INDEX('Harrison Lake 1933-2025'!$C$6:$C$98,MATCH(B6,'Harrison Lake 1933-2025'!$A$6:$A$98,0))="","not published",INDEX('Harrison Lake 1933-2025'!$C$6:$C$98,MATCH(B6,'Harrison Lake 1933-2025'!$A$6:$A$98,0))),"not published"))</f>
        <v>13.298</v>
      </c>
      <c r="H6" s="11" t="s">
        <v>496</v>
      </c>
    </row>
    <row r="7" customFormat="false" ht="15" hidden="false" customHeight="false" outlineLevel="0" collapsed="false">
      <c r="A7" s="11" t="n">
        <v>3</v>
      </c>
      <c r="B7" s="11" t="n">
        <v>1950</v>
      </c>
      <c r="C7" s="11" t="s">
        <v>497</v>
      </c>
      <c r="D7" s="12" t="n">
        <v>7.45</v>
      </c>
      <c r="E7" s="13"/>
      <c r="F7" s="13"/>
      <c r="G7" s="15" t="n">
        <f aca="false">IF(B7&lt;1933,"before 1933 record",IFERROR(IF(INDEX('Harrison Lake 1933-2025'!$C$6:$C$98,MATCH(B7,'Harrison Lake 1933-2025'!$A$6:$A$98,0))="","not published",INDEX('Harrison Lake 1933-2025'!$C$6:$C$98,MATCH(B7,'Harrison Lake 1933-2025'!$A$6:$A$98,0))),"not published"))</f>
        <v>13.146</v>
      </c>
      <c r="H7" s="11" t="s">
        <v>498</v>
      </c>
    </row>
    <row r="8" customFormat="false" ht="15" hidden="false" customHeight="false" outlineLevel="0" collapsed="false">
      <c r="A8" s="11" t="n">
        <v>4</v>
      </c>
      <c r="B8" s="11" t="n">
        <v>1882</v>
      </c>
      <c r="C8" s="11" t="s">
        <v>499</v>
      </c>
      <c r="D8" s="12" t="n">
        <v>7.34</v>
      </c>
      <c r="E8" s="13"/>
      <c r="F8" s="13"/>
      <c r="G8" s="15" t="str">
        <f aca="false">IF(B8&lt;1933,"before 1933 record",IFERROR(IF(INDEX('Harrison Lake 1933-2025'!$C$6:$C$98,MATCH(B8,'Harrison Lake 1933-2025'!$A$6:$A$98,0))="","not published",INDEX('Harrison Lake 1933-2025'!$C$6:$C$98,MATCH(B8,'Harrison Lake 1933-2025'!$A$6:$A$98,0))),"not published"))</f>
        <v>before 1933 record</v>
      </c>
      <c r="H8" s="11" t="s">
        <v>498</v>
      </c>
    </row>
    <row r="9" customFormat="false" ht="15" hidden="false" customHeight="false" outlineLevel="0" collapsed="false">
      <c r="A9" s="11" t="n">
        <v>5</v>
      </c>
      <c r="B9" s="11" t="n">
        <v>1972</v>
      </c>
      <c r="C9" s="11" t="s">
        <v>500</v>
      </c>
      <c r="D9" s="16" t="n">
        <f aca="false">'Annual Extremes 1965-2025'!$H$3+INDEX('Annual Extremes 1965-2025'!F:F,MATCH(1972,'Annual Extremes 1965-2025'!A:A,0))</f>
        <v>7.151</v>
      </c>
      <c r="E9" s="14" t="n">
        <v>14400</v>
      </c>
      <c r="F9" s="13"/>
      <c r="G9" s="15" t="n">
        <f aca="false">IF(B9&lt;1933,"before 1933 record",IFERROR(IF(INDEX('Harrison Lake 1933-2025'!$C$6:$C$98,MATCH(B9,'Harrison Lake 1933-2025'!$A$6:$A$98,0))="","not published",INDEX('Harrison Lake 1933-2025'!$C$6:$C$98,MATCH(B9,'Harrison Lake 1933-2025'!$A$6:$A$98,0))),"not published"))</f>
        <v>12.5</v>
      </c>
      <c r="H9" s="11" t="s">
        <v>501</v>
      </c>
    </row>
    <row r="10" customFormat="false" ht="15" hidden="false" customHeight="false" outlineLevel="0" collapsed="false">
      <c r="A10" s="11" t="n">
        <v>6</v>
      </c>
      <c r="B10" s="11" t="n">
        <v>1964</v>
      </c>
      <c r="C10" s="11" t="s">
        <v>493</v>
      </c>
      <c r="D10" s="12" t="n">
        <v>7.01</v>
      </c>
      <c r="E10" s="13"/>
      <c r="F10" s="13"/>
      <c r="G10" s="15" t="n">
        <f aca="false">IF(B10&lt;1933,"before 1933 record",IFERROR(IF(INDEX('Harrison Lake 1933-2025'!$C$6:$C$98,MATCH(B10,'Harrison Lake 1933-2025'!$A$6:$A$98,0))="","not published",INDEX('Harrison Lake 1933-2025'!$C$6:$C$98,MATCH(B10,'Harrison Lake 1933-2025'!$A$6:$A$98,0))),"not published"))</f>
        <v>12.244</v>
      </c>
      <c r="H10" s="11" t="s">
        <v>498</v>
      </c>
    </row>
    <row r="11" customFormat="false" ht="15" hidden="false" customHeight="false" outlineLevel="0" collapsed="false">
      <c r="A11" s="11" t="n">
        <v>7</v>
      </c>
      <c r="B11" s="11" t="n">
        <v>1876</v>
      </c>
      <c r="C11" s="11" t="s">
        <v>502</v>
      </c>
      <c r="D11" s="12" t="n">
        <v>7</v>
      </c>
      <c r="E11" s="13"/>
      <c r="F11" s="13"/>
      <c r="G11" s="15" t="str">
        <f aca="false">IF(B11&lt;1933,"before 1933 record",IFERROR(IF(INDEX('Harrison Lake 1933-2025'!$C$6:$C$98,MATCH(B11,'Harrison Lake 1933-2025'!$A$6:$A$98,0))="","not published",INDEX('Harrison Lake 1933-2025'!$C$6:$C$98,MATCH(B11,'Harrison Lake 1933-2025'!$A$6:$A$98,0))),"not published"))</f>
        <v>before 1933 record</v>
      </c>
      <c r="H11" s="11" t="s">
        <v>503</v>
      </c>
    </row>
    <row r="12" customFormat="false" ht="15" hidden="false" customHeight="false" outlineLevel="0" collapsed="false">
      <c r="A12" s="11" t="n">
        <v>8</v>
      </c>
      <c r="B12" s="11" t="n">
        <v>1936</v>
      </c>
      <c r="C12" s="11" t="s">
        <v>493</v>
      </c>
      <c r="D12" s="12" t="n">
        <v>6.97</v>
      </c>
      <c r="E12" s="13"/>
      <c r="F12" s="13"/>
      <c r="G12" s="15" t="n">
        <f aca="false">IF(B12&lt;1933,"before 1933 record",IFERROR(IF(INDEX('Harrison Lake 1933-2025'!$C$6:$C$98,MATCH(B12,'Harrison Lake 1933-2025'!$A$6:$A$98,0))="","not published",INDEX('Harrison Lake 1933-2025'!$C$6:$C$98,MATCH(B12,'Harrison Lake 1933-2025'!$A$6:$A$98,0))),"not published"))</f>
        <v>12.308</v>
      </c>
      <c r="H12" s="11" t="s">
        <v>498</v>
      </c>
    </row>
    <row r="13" customFormat="false" ht="15" hidden="false" customHeight="false" outlineLevel="0" collapsed="false">
      <c r="A13" s="11" t="n">
        <v>9</v>
      </c>
      <c r="B13" s="11" t="n">
        <v>1967</v>
      </c>
      <c r="C13" s="11" t="s">
        <v>502</v>
      </c>
      <c r="D13" s="12" t="n">
        <v>6.97</v>
      </c>
      <c r="E13" s="14" t="n">
        <v>13500</v>
      </c>
      <c r="F13" s="13"/>
      <c r="G13" s="15" t="n">
        <f aca="false">IF(B13&lt;1933,"before 1933 record",IFERROR(IF(INDEX('Harrison Lake 1933-2025'!$C$6:$C$98,MATCH(B13,'Harrison Lake 1933-2025'!$A$6:$A$98,0))="","not published",INDEX('Harrison Lake 1933-2025'!$C$6:$C$98,MATCH(B13,'Harrison Lake 1933-2025'!$A$6:$A$98,0))),"not published"))</f>
        <v>12.823</v>
      </c>
      <c r="H13" s="11" t="s">
        <v>504</v>
      </c>
    </row>
    <row r="14" customFormat="false" ht="15" hidden="false" customHeight="false" outlineLevel="0" collapsed="false">
      <c r="A14" s="11" t="n">
        <v>10</v>
      </c>
      <c r="B14" s="11" t="n">
        <v>1903</v>
      </c>
      <c r="C14" s="11" t="s">
        <v>499</v>
      </c>
      <c r="D14" s="12" t="n">
        <v>6.93</v>
      </c>
      <c r="E14" s="13"/>
      <c r="F14" s="13"/>
      <c r="G14" s="15" t="str">
        <f aca="false">IF(B14&lt;1933,"before 1933 record",IFERROR(IF(INDEX('Harrison Lake 1933-2025'!$C$6:$C$98,MATCH(B14,'Harrison Lake 1933-2025'!$A$6:$A$98,0))="","not published",INDEX('Harrison Lake 1933-2025'!$C$6:$C$98,MATCH(B14,'Harrison Lake 1933-2025'!$A$6:$A$98,0))),"not published"))</f>
        <v>before 1933 record</v>
      </c>
      <c r="H14" s="11" t="s">
        <v>498</v>
      </c>
    </row>
    <row r="16" customFormat="false" ht="15" hidden="false" customHeight="false" outlineLevel="0" collapsed="false">
      <c r="A16" s="17" t="s">
        <v>505</v>
      </c>
    </row>
    <row r="17" customFormat="false" ht="15" hidden="false" customHeight="false" outlineLevel="0" collapsed="false">
      <c r="B17" s="3" t="n">
        <v>2012</v>
      </c>
      <c r="D17" s="16" t="n">
        <f aca="false">INDEX('Annual Extremes 1965-2025'!D:D,MATCH(2012,'Annual Extremes 1965-2025'!A:A,0))</f>
        <v>6.369</v>
      </c>
      <c r="E17" s="18" t="n">
        <f aca="false">INDEX('Annual Extremes 1965-2025'!J:J,MATCH(2012,'Annual Extremes 1965-2025'!A:A,0))</f>
        <v>12700</v>
      </c>
      <c r="G17" s="15" t="n">
        <f aca="false">IF(B17&lt;1933,"before 1933 record",IFERROR(IF(INDEX('Harrison Lake 1933-2025'!$C$6:$C$98,MATCH(B17,'Harrison Lake 1933-2025'!$A$6:$A$98,0))="","not published",INDEX('Harrison Lake 1933-2025'!$C$6:$C$98,MATCH(B17,'Harrison Lake 1933-2025'!$A$6:$A$98,0))),"not published"))</f>
        <v>12.42</v>
      </c>
    </row>
    <row r="18" customFormat="false" ht="15" hidden="false" customHeight="false" outlineLevel="0" collapsed="false">
      <c r="B18" s="3" t="n">
        <v>2018</v>
      </c>
      <c r="D18" s="16" t="n">
        <f aca="false">INDEX('Annual Extremes 1965-2025'!D:D,MATCH(2018,'Annual Extremes 1965-2025'!A:A,0))</f>
        <v>5.961</v>
      </c>
      <c r="E18" s="18" t="n">
        <f aca="false">INDEX('Annual Extremes 1965-2025'!J:J,MATCH(2018,'Annual Extremes 1965-2025'!A:A,0))</f>
        <v>11700</v>
      </c>
      <c r="G18" s="15" t="n">
        <f aca="false">IF(B18&lt;1933,"before 1933 record",IFERROR(IF(INDEX('Harrison Lake 1933-2025'!$C$6:$C$98,MATCH(B18,'Harrison Lake 1933-2025'!$A$6:$A$98,0))="","not published",INDEX('Harrison Lake 1933-2025'!$C$6:$C$98,MATCH(B18,'Harrison Lake 1933-2025'!$A$6:$A$98,0))),"not published"))</f>
        <v>12.312</v>
      </c>
    </row>
    <row r="19" customFormat="false" ht="15" hidden="false" customHeight="false" outlineLevel="0" collapsed="false">
      <c r="B19" s="3" t="n">
        <v>2020</v>
      </c>
      <c r="D19" s="16" t="n">
        <f aca="false">INDEX('Annual Extremes 1965-2025'!D:D,MATCH(2020,'Annual Extremes 1965-2025'!A:A,0))</f>
        <v>5.867</v>
      </c>
      <c r="E19" s="18" t="n">
        <f aca="false">INDEX('Annual Extremes 1965-2025'!J:J,MATCH(2020,'Annual Extremes 1965-2025'!A:A,0))</f>
        <v>11400</v>
      </c>
      <c r="G19" s="15" t="str">
        <f aca="false">IF(B19&lt;1933,"before 1933 record",IFERROR(IF(INDEX('Harrison Lake 1933-2025'!$C$6:$C$98,MATCH(B19,'Harrison Lake 1933-2025'!$A$6:$A$98,0))="","not published",INDEX('Harrison Lake 1933-2025'!$C$6:$C$98,MATCH(B19,'Harrison Lake 1933-2025'!$A$6:$A$98,0))),"not published"))</f>
        <v>not published</v>
      </c>
    </row>
    <row r="20" customFormat="false" ht="15" hidden="false" customHeight="false" outlineLevel="0" collapsed="false">
      <c r="B20" s="3" t="n">
        <v>2021</v>
      </c>
      <c r="C20" s="3" t="s">
        <v>506</v>
      </c>
      <c r="D20" s="16" t="n">
        <f aca="false">INDEX('Annual Extremes 1965-2025'!D:D,MATCH(2021,'Annual Extremes 1965-2025'!A:A,0))</f>
        <v>5.453</v>
      </c>
      <c r="E20" s="18" t="n">
        <f aca="false">INDEX('Annual Extremes 1965-2025'!J:J,MATCH(2021,'Annual Extremes 1965-2025'!A:A,0))</f>
        <v>10500</v>
      </c>
      <c r="G20" s="15" t="n">
        <f aca="false">IF(B20&lt;1933,"before 1933 record",IFERROR(IF(INDEX('Harrison Lake 1933-2025'!$C$6:$C$98,MATCH(B20,'Harrison Lake 1933-2025'!$A$6:$A$98,0))="","not published",INDEX('Harrison Lake 1933-2025'!$C$6:$C$98,MATCH(B20,'Harrison Lake 1933-2025'!$A$6:$A$98,0))),"not published"))</f>
        <v>12.235</v>
      </c>
      <c r="H20" s="3" t="s">
        <v>507</v>
      </c>
    </row>
    <row r="21" customFormat="false" ht="15" hidden="false" customHeight="false" outlineLevel="0" collapsed="false">
      <c r="B21" s="3" t="n">
        <v>2022</v>
      </c>
      <c r="D21" s="16" t="n">
        <f aca="false">INDEX('Annual Extremes 1965-2025'!D:D,MATCH(2022,'Annual Extremes 1965-2025'!A:A,0))</f>
        <v>5.867</v>
      </c>
      <c r="E21" s="18" t="n">
        <f aca="false">INDEX('Annual Extremes 1965-2025'!J:J,MATCH(2022,'Annual Extremes 1965-2025'!A:A,0))</f>
        <v>11400</v>
      </c>
      <c r="G21" s="15" t="n">
        <f aca="false">IF(B21&lt;1933,"before 1933 record",IFERROR(IF(INDEX('Harrison Lake 1933-2025'!$C$6:$C$98,MATCH(B21,'Harrison Lake 1933-2025'!$A$6:$A$98,0))="","not published",INDEX('Harrison Lake 1933-2025'!$C$6:$C$98,MATCH(B21,'Harrison Lake 1933-2025'!$A$6:$A$98,0))),"not published"))</f>
        <v>12.075</v>
      </c>
    </row>
    <row r="22" customFormat="false" ht="15" hidden="false" customHeight="false" outlineLevel="0" collapsed="false">
      <c r="B22" s="17" t="s">
        <v>508</v>
      </c>
      <c r="C22" s="17" t="s">
        <v>509</v>
      </c>
      <c r="D22" s="12" t="n">
        <f aca="false">'Annual Extremes 1965-2025'!$H$3+4.666</f>
        <v>4.709</v>
      </c>
      <c r="E22" s="14" t="n">
        <v>8970</v>
      </c>
      <c r="G22" s="12" t="n">
        <v>12.042</v>
      </c>
      <c r="H22" s="3" t="s">
        <v>510</v>
      </c>
    </row>
    <row r="25" customFormat="false" ht="15" hidden="false" customHeight="false" outlineLevel="0" collapsed="false">
      <c r="A25" s="9" t="s">
        <v>511</v>
      </c>
    </row>
    <row r="26" customFormat="false" ht="36" hidden="false" customHeight="true" outlineLevel="0" collapsed="false">
      <c r="A26" s="10" t="s">
        <v>482</v>
      </c>
      <c r="B26" s="10" t="s">
        <v>3</v>
      </c>
      <c r="C26" s="10" t="s">
        <v>483</v>
      </c>
      <c r="D26" s="10" t="s">
        <v>512</v>
      </c>
      <c r="E26" s="10" t="s">
        <v>513</v>
      </c>
      <c r="H26" s="10" t="s">
        <v>514</v>
      </c>
    </row>
    <row r="27" customFormat="false" ht="15" hidden="false" customHeight="false" outlineLevel="0" collapsed="false">
      <c r="A27" s="3" t="n">
        <v>1</v>
      </c>
      <c r="B27" s="19" t="n">
        <f aca="false">INDEX('Harrison Lake 1933-2025'!$A$6:$A$98,MATCH(D27,'Harrison Lake 1933-2025'!$C$6:$C$98,0))</f>
        <v>1948</v>
      </c>
      <c r="C27" s="19" t="str">
        <f aca="false">INDEX('Harrison Lake 1933-2025'!$B$6:$B$98,MATCH(D27,'Harrison Lake 1933-2025'!$C$6:$C$98,0))</f>
        <v>1948-06-11</v>
      </c>
      <c r="D27" s="16" t="n">
        <f aca="false">LARGE('Harrison Lake 1933-2025'!$C$6:$C$98,A27)</f>
        <v>13.298</v>
      </c>
      <c r="E27" s="15" t="n">
        <f aca="false">IFERROR(INDEX($D$5:$D$14,MATCH(B27,$B$5:$B$14,0)),IFERROR(INDEX('Annual Extremes 1965-2025'!$D$6:$D$66,MATCH(B27,'Annual Extremes 1965-2025'!$A$6:$A$66,0)),"-"))</f>
        <v>7.61</v>
      </c>
    </row>
    <row r="28" customFormat="false" ht="15" hidden="false" customHeight="false" outlineLevel="0" collapsed="false">
      <c r="A28" s="3" t="n">
        <v>2</v>
      </c>
      <c r="B28" s="19" t="n">
        <f aca="false">INDEX('Harrison Lake 1933-2025'!$A$6:$A$98,MATCH(D28,'Harrison Lake 1933-2025'!$C$6:$C$98,0))</f>
        <v>1950</v>
      </c>
      <c r="C28" s="19" t="str">
        <f aca="false">INDEX('Harrison Lake 1933-2025'!$B$6:$B$98,MATCH(D28,'Harrison Lake 1933-2025'!$C$6:$C$98,0))</f>
        <v>1950-06-22</v>
      </c>
      <c r="D28" s="16" t="n">
        <f aca="false">LARGE('Harrison Lake 1933-2025'!$C$6:$C$98,A28)</f>
        <v>13.146</v>
      </c>
      <c r="E28" s="15" t="n">
        <f aca="false">IFERROR(INDEX($D$5:$D$14,MATCH(B28,$B$5:$B$14,0)),IFERROR(INDEX('Annual Extremes 1965-2025'!$D$6:$D$66,MATCH(B28,'Annual Extremes 1965-2025'!$A$6:$A$66,0)),"-"))</f>
        <v>7.45</v>
      </c>
    </row>
    <row r="29" customFormat="false" ht="15" hidden="false" customHeight="false" outlineLevel="0" collapsed="false">
      <c r="A29" s="3" t="n">
        <v>3</v>
      </c>
      <c r="B29" s="19" t="n">
        <f aca="false">INDEX('Harrison Lake 1933-2025'!$A$6:$A$98,MATCH(D29,'Harrison Lake 1933-2025'!$C$6:$C$98,0))</f>
        <v>1967</v>
      </c>
      <c r="C29" s="19" t="str">
        <f aca="false">INDEX('Harrison Lake 1933-2025'!$B$6:$B$98,MATCH(D29,'Harrison Lake 1933-2025'!$C$6:$C$98,0))</f>
        <v>1967-06-24</v>
      </c>
      <c r="D29" s="16" t="n">
        <f aca="false">LARGE('Harrison Lake 1933-2025'!$C$6:$C$98,A29)</f>
        <v>12.823</v>
      </c>
      <c r="E29" s="15" t="n">
        <f aca="false">IFERROR(INDEX($D$5:$D$14,MATCH(B29,$B$5:$B$14,0)),IFERROR(INDEX('Annual Extremes 1965-2025'!$D$6:$D$66,MATCH(B29,'Annual Extremes 1965-2025'!$A$6:$A$66,0)),"-"))</f>
        <v>6.97</v>
      </c>
    </row>
    <row r="30" customFormat="false" ht="15" hidden="false" customHeight="false" outlineLevel="0" collapsed="false">
      <c r="A30" s="3" t="n">
        <v>4</v>
      </c>
      <c r="B30" s="19" t="n">
        <f aca="false">INDEX('Harrison Lake 1933-2025'!$A$6:$A$98,MATCH(D30,'Harrison Lake 1933-2025'!$C$6:$C$98,0))</f>
        <v>1974</v>
      </c>
      <c r="C30" s="19" t="str">
        <f aca="false">INDEX('Harrison Lake 1933-2025'!$B$6:$B$98,MATCH(D30,'Harrison Lake 1933-2025'!$C$6:$C$98,0))</f>
        <v>1974-06-23</v>
      </c>
      <c r="D30" s="16" t="n">
        <f aca="false">LARGE('Harrison Lake 1933-2025'!$C$6:$C$98,A30)</f>
        <v>12.619</v>
      </c>
      <c r="E30" s="15" t="n">
        <f aca="false">IFERROR(INDEX($D$5:$D$14,MATCH(B30,$B$5:$B$14,0)),IFERROR(INDEX('Annual Extremes 1965-2025'!$D$6:$D$66,MATCH(B30,'Annual Extremes 1965-2025'!$A$6:$A$66,0)),"-"))</f>
        <v>6.813</v>
      </c>
    </row>
    <row r="31" customFormat="false" ht="15" hidden="false" customHeight="false" outlineLevel="0" collapsed="false">
      <c r="A31" s="3" t="n">
        <v>5</v>
      </c>
      <c r="B31" s="19" t="n">
        <f aca="false">INDEX('Harrison Lake 1933-2025'!$A$6:$A$98,MATCH(D31,'Harrison Lake 1933-2025'!$C$6:$C$98,0))</f>
        <v>1972</v>
      </c>
      <c r="C31" s="19" t="str">
        <f aca="false">INDEX('Harrison Lake 1933-2025'!$B$6:$B$98,MATCH(D31,'Harrison Lake 1933-2025'!$C$6:$C$98,0))</f>
        <v>1972-06-12</v>
      </c>
      <c r="D31" s="16" t="n">
        <f aca="false">LARGE('Harrison Lake 1933-2025'!$C$6:$C$98,A31)</f>
        <v>12.5</v>
      </c>
      <c r="E31" s="15" t="n">
        <f aca="false">IFERROR(INDEX($D$5:$D$14,MATCH(B31,$B$5:$B$14,0)),IFERROR(INDEX('Annual Extremes 1965-2025'!$D$6:$D$66,MATCH(B31,'Annual Extremes 1965-2025'!$A$6:$A$66,0)),"-"))</f>
        <v>7.151</v>
      </c>
    </row>
    <row r="32" customFormat="false" ht="15" hidden="false" customHeight="false" outlineLevel="0" collapsed="false">
      <c r="A32" s="3" t="n">
        <v>6</v>
      </c>
      <c r="B32" s="19" t="n">
        <f aca="false">INDEX('Harrison Lake 1933-2025'!$A$6:$A$98,MATCH(D32,'Harrison Lake 1933-2025'!$C$6:$C$98,0))</f>
        <v>1982</v>
      </c>
      <c r="C32" s="19" t="str">
        <f aca="false">INDEX('Harrison Lake 1933-2025'!$B$6:$B$98,MATCH(D32,'Harrison Lake 1933-2025'!$C$6:$C$98,0))</f>
        <v>1982-06-23</v>
      </c>
      <c r="D32" s="16" t="n">
        <f aca="false">LARGE('Harrison Lake 1933-2025'!$C$6:$C$98,A32)</f>
        <v>12.423</v>
      </c>
      <c r="E32" s="15" t="n">
        <f aca="false">IFERROR(INDEX($D$5:$D$14,MATCH(B32,$B$5:$B$14,0)),IFERROR(INDEX('Annual Extremes 1965-2025'!$D$6:$D$66,MATCH(B32,'Annual Extremes 1965-2025'!$A$6:$A$66,0)),"-"))</f>
        <v>6.211</v>
      </c>
    </row>
    <row r="33" customFormat="false" ht="15" hidden="false" customHeight="false" outlineLevel="0" collapsed="false">
      <c r="A33" s="3" t="n">
        <v>7</v>
      </c>
      <c r="B33" s="19" t="n">
        <f aca="false">INDEX('Harrison Lake 1933-2025'!$A$6:$A$98,MATCH(D33,'Harrison Lake 1933-2025'!$C$6:$C$98,0))</f>
        <v>2012</v>
      </c>
      <c r="C33" s="19" t="str">
        <f aca="false">INDEX('Harrison Lake 1933-2025'!$B$6:$B$98,MATCH(D33,'Harrison Lake 1933-2025'!$C$6:$C$98,0))</f>
        <v>2012-06-25</v>
      </c>
      <c r="D33" s="16" t="n">
        <f aca="false">LARGE('Harrison Lake 1933-2025'!$C$6:$C$98,A33)</f>
        <v>12.42</v>
      </c>
      <c r="E33" s="15" t="n">
        <f aca="false">IFERROR(INDEX($D$5:$D$14,MATCH(B33,$B$5:$B$14,0)),IFERROR(INDEX('Annual Extremes 1965-2025'!$D$6:$D$66,MATCH(B33,'Annual Extremes 1965-2025'!$A$6:$A$66,0)),"-"))</f>
        <v>6.369</v>
      </c>
    </row>
    <row r="34" customFormat="false" ht="15" hidden="false" customHeight="false" outlineLevel="0" collapsed="false">
      <c r="A34" s="3" t="n">
        <v>8</v>
      </c>
      <c r="B34" s="19" t="n">
        <f aca="false">INDEX('Harrison Lake 1933-2025'!$A$6:$A$98,MATCH(D34,'Harrison Lake 1933-2025'!$C$6:$C$98,0))</f>
        <v>1969</v>
      </c>
      <c r="C34" s="19" t="str">
        <f aca="false">INDEX('Harrison Lake 1933-2025'!$B$6:$B$98,MATCH(D34,'Harrison Lake 1933-2025'!$C$6:$C$98,0))</f>
        <v>1969-06-14</v>
      </c>
      <c r="D34" s="16" t="n">
        <f aca="false">LARGE('Harrison Lake 1933-2025'!$C$6:$C$98,A34)</f>
        <v>12.354</v>
      </c>
      <c r="E34" s="15" t="n">
        <f aca="false">IFERROR(INDEX($D$5:$D$14,MATCH(B34,$B$5:$B$14,0)),IFERROR(INDEX('Annual Extremes 1965-2025'!$D$6:$D$66,MATCH(B34,'Annual Extremes 1965-2025'!$A$6:$A$66,0)),"-"))</f>
        <v>5.621</v>
      </c>
    </row>
    <row r="35" customFormat="false" ht="15" hidden="false" customHeight="false" outlineLevel="0" collapsed="false">
      <c r="A35" s="3" t="n">
        <v>9</v>
      </c>
      <c r="B35" s="19" t="n">
        <f aca="false">INDEX('Harrison Lake 1933-2025'!$A$6:$A$98,MATCH(D35,'Harrison Lake 1933-2025'!$C$6:$C$98,0))</f>
        <v>2018</v>
      </c>
      <c r="C35" s="19" t="str">
        <f aca="false">INDEX('Harrison Lake 1933-2025'!$B$6:$B$98,MATCH(D35,'Harrison Lake 1933-2025'!$C$6:$C$98,0))</f>
        <v>2018-05-21</v>
      </c>
      <c r="D35" s="16" t="n">
        <f aca="false">LARGE('Harrison Lake 1933-2025'!$C$6:$C$98,A35)</f>
        <v>12.312</v>
      </c>
      <c r="E35" s="15" t="n">
        <f aca="false">IFERROR(INDEX($D$5:$D$14,MATCH(B35,$B$5:$B$14,0)),IFERROR(INDEX('Annual Extremes 1965-2025'!$D$6:$D$66,MATCH(B35,'Annual Extremes 1965-2025'!$A$6:$A$66,0)),"-"))</f>
        <v>5.961</v>
      </c>
    </row>
    <row r="36" customFormat="false" ht="15" hidden="false" customHeight="false" outlineLevel="0" collapsed="false">
      <c r="A36" s="3" t="n">
        <v>10</v>
      </c>
      <c r="B36" s="19" t="n">
        <f aca="false">INDEX('Harrison Lake 1933-2025'!$A$6:$A$98,MATCH(D36,'Harrison Lake 1933-2025'!$C$6:$C$98,0))</f>
        <v>1999</v>
      </c>
      <c r="C36" s="19" t="str">
        <f aca="false">INDEX('Harrison Lake 1933-2025'!$B$6:$B$98,MATCH(D36,'Harrison Lake 1933-2025'!$C$6:$C$98,0))</f>
        <v>1999-07-17</v>
      </c>
      <c r="D36" s="16" t="n">
        <f aca="false">LARGE('Harrison Lake 1933-2025'!$C$6:$C$98,A36)</f>
        <v>12.31</v>
      </c>
      <c r="E36" s="15" t="n">
        <f aca="false">IFERROR(INDEX($D$5:$D$14,MATCH(B36,$B$5:$B$14,0)),IFERROR(INDEX('Annual Extremes 1965-2025'!$D$6:$D$66,MATCH(B36,'Annual Extremes 1965-2025'!$A$6:$A$66,0)),"-"))</f>
        <v>6.257</v>
      </c>
    </row>
    <row r="37" customFormat="false" ht="15" hidden="false" customHeight="false" outlineLevel="0" collapsed="false">
      <c r="A37" s="20" t="s">
        <v>515</v>
      </c>
      <c r="B37" s="21" t="n">
        <v>2021</v>
      </c>
      <c r="C37" s="21" t="s">
        <v>516</v>
      </c>
      <c r="D37" s="22" t="n">
        <v>12.042</v>
      </c>
      <c r="E37" s="22" t="n">
        <f aca="false">'Annual Extremes 1965-2025'!$H$3+4.666</f>
        <v>4.709</v>
      </c>
      <c r="H37" s="23" t="s">
        <v>517</v>
      </c>
    </row>
    <row r="38" customFormat="false" ht="15" hidden="false" customHeight="false" outlineLevel="0" collapsed="false">
      <c r="A38" s="2" t="s">
        <v>518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5" hidden="false" customHeight="false" outlineLevel="0" collapsed="false">
      <c r="A1" s="24" t="s">
        <v>519</v>
      </c>
      <c r="B1" s="25" t="s">
        <v>520</v>
      </c>
    </row>
    <row r="2" customFormat="false" ht="15" hidden="false" customHeight="false" outlineLevel="0" collapsed="false">
      <c r="A2" s="24" t="s">
        <v>521</v>
      </c>
      <c r="B2" s="25" t="s">
        <v>522</v>
      </c>
    </row>
    <row r="3" customFormat="false" ht="23.85" hidden="false" customHeight="false" outlineLevel="0" collapsed="false">
      <c r="A3" s="24" t="s">
        <v>523</v>
      </c>
      <c r="B3" s="25" t="s">
        <v>524</v>
      </c>
    </row>
    <row r="4" customFormat="false" ht="23.85" hidden="false" customHeight="false" outlineLevel="0" collapsed="false">
      <c r="A4" s="24" t="s">
        <v>525</v>
      </c>
      <c r="B4" s="25" t="s">
        <v>526</v>
      </c>
    </row>
    <row r="5" customFormat="false" ht="23.85" hidden="false" customHeight="false" outlineLevel="0" collapsed="false">
      <c r="A5" s="24" t="s">
        <v>527</v>
      </c>
      <c r="B5" s="25" t="s">
        <v>528</v>
      </c>
    </row>
    <row r="6" customFormat="false" ht="23.85" hidden="false" customHeight="false" outlineLevel="0" collapsed="false">
      <c r="A6" s="24" t="s">
        <v>529</v>
      </c>
      <c r="B6" s="25" t="s">
        <v>530</v>
      </c>
    </row>
    <row r="7" customFormat="false" ht="23.85" hidden="false" customHeight="false" outlineLevel="0" collapsed="false">
      <c r="A7" s="24" t="s">
        <v>531</v>
      </c>
      <c r="B7" s="25" t="s">
        <v>532</v>
      </c>
    </row>
    <row r="8" customFormat="false" ht="35.05" hidden="false" customHeight="false" outlineLevel="0" collapsed="false">
      <c r="A8" s="24" t="s">
        <v>533</v>
      </c>
      <c r="B8" s="25" t="s">
        <v>534</v>
      </c>
    </row>
    <row r="9" customFormat="false" ht="23.85" hidden="false" customHeight="false" outlineLevel="0" collapsed="false">
      <c r="A9" s="24" t="s">
        <v>535</v>
      </c>
      <c r="B9" s="25" t="s">
        <v>536</v>
      </c>
    </row>
    <row r="10" customFormat="false" ht="15" hidden="false" customHeight="false" outlineLevel="0" collapsed="false">
      <c r="A10" s="24" t="s">
        <v>537</v>
      </c>
      <c r="B10" s="25" t="s">
        <v>538</v>
      </c>
    </row>
    <row r="12" customFormat="false" ht="23.85" hidden="false" customHeight="false" outlineLevel="0" collapsed="false">
      <c r="A12" s="24" t="s">
        <v>539</v>
      </c>
      <c r="B12" s="25" t="s">
        <v>540</v>
      </c>
    </row>
    <row r="13" customFormat="false" ht="23.85" hidden="false" customHeight="false" outlineLevel="0" collapsed="false">
      <c r="A13" s="24" t="s">
        <v>541</v>
      </c>
      <c r="B13" s="25" t="s">
        <v>542</v>
      </c>
    </row>
    <row r="14" customFormat="false" ht="23.85" hidden="false" customHeight="false" outlineLevel="0" collapsed="false">
      <c r="A14" s="24" t="s">
        <v>543</v>
      </c>
      <c r="B14" s="25" t="s">
        <v>544</v>
      </c>
    </row>
    <row r="15" customFormat="false" ht="15" hidden="false" customHeight="false" outlineLevel="0" collapsed="false">
      <c r="A15" s="24" t="s">
        <v>545</v>
      </c>
      <c r="B15" s="25" t="s">
        <v>546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2026-10-05T16:27:14Z</dcterms:created>
  <dc:creator>openpyxl</dc:creator>
  <dc:description/>
  <dc:language>en-US</dc:language>
  <cp:lastModifiedBy/>
  <dcterms:modified xsi:type="dcterms:W3CDTF">2026-10-05T16:27:14Z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